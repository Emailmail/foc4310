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<sst xmlns="http://schemas.openxmlformats.org/spreadsheetml/2006/main" count="137" uniqueCount="107">
  <si>
    <t>Nebula_st_mdk</t>
  </si>
  <si>
    <t>startup_stm32g431xx.o</t>
  </si>
  <si>
    <t>aurofoc.o</t>
  </si>
  <si>
    <t>usbd_cdc_if.o</t>
  </si>
  <si>
    <t>usbd_conf.o</t>
  </si>
  <si>
    <t>usb_device.o</t>
  </si>
  <si>
    <t>usbd_desc.o</t>
  </si>
  <si>
    <t>motorevent.o</t>
  </si>
  <si>
    <t>usart.o</t>
  </si>
  <si>
    <t>tim.o</t>
  </si>
  <si>
    <t>usbd_cdc.o</t>
  </si>
  <si>
    <t>protocol.o</t>
  </si>
  <si>
    <t>adc.o</t>
  </si>
  <si>
    <t>spi.o</t>
  </si>
  <si>
    <t>fdcan.o</t>
  </si>
  <si>
    <t>c_w.l</t>
  </si>
  <si>
    <t>libspace.o</t>
  </si>
  <si>
    <t>stm32g4xx_hal.o</t>
  </si>
  <si>
    <t>system_stm32g4xx.o</t>
  </si>
  <si>
    <t>user_app.o</t>
  </si>
  <si>
    <t>usbd_ctlreq.o</t>
  </si>
  <si>
    <t>aurofoccomm.o</t>
  </si>
  <si>
    <t>stm32g4xx_hal_uart.o</t>
  </si>
  <si>
    <t>stm32g4xx_hal_pcd.o</t>
  </si>
  <si>
    <t>stm32g4xx_hal_tim.o</t>
  </si>
  <si>
    <t>m_wm.l</t>
  </si>
  <si>
    <t>fz_wm.l</t>
  </si>
  <si>
    <t>stm32g4xx_ll_usb.o</t>
  </si>
  <si>
    <t>stm32g4xx_hal_adc.o</t>
  </si>
  <si>
    <t>stm32g4xx_hal_adc_ex.o</t>
  </si>
  <si>
    <t>stm32g4xx_hal_rcc.o</t>
  </si>
  <si>
    <t>stm32g4xx_hal_spi.o</t>
  </si>
  <si>
    <t>rred.o</t>
  </si>
  <si>
    <t>stm32g4xx_hal_gpio.o</t>
  </si>
  <si>
    <t>stm32g4xx_hal_fdcan.o</t>
  </si>
  <si>
    <t>stm32g4xx_hal_tim_ex.o</t>
  </si>
  <si>
    <t>daddsub_clz.o</t>
  </si>
  <si>
    <t>stm32g4xx_hal_dma.o</t>
  </si>
  <si>
    <t>ddiv.o</t>
  </si>
  <si>
    <t>usbd_core.o</t>
  </si>
  <si>
    <t>stm32g4xx_hal_rcc_ex.o</t>
  </si>
  <si>
    <t>iic_bsp_drv.o</t>
  </si>
  <si>
    <t>as5047p_bsp_drv.o</t>
  </si>
  <si>
    <t>cos_i.o</t>
  </si>
  <si>
    <t>stm32g4xx_hal_uart_ex.o</t>
  </si>
  <si>
    <t>sin_i.o</t>
  </si>
  <si>
    <t>dmul.o</t>
  </si>
  <si>
    <t>poly.o</t>
  </si>
  <si>
    <t>lludivv7m.o</t>
  </si>
  <si>
    <t>stm32g4xx_hal_pwr_ex.o</t>
  </si>
  <si>
    <t>gpio.o</t>
  </si>
  <si>
    <t>sin.o</t>
  </si>
  <si>
    <t>cos.o</t>
  </si>
  <si>
    <t>stm32g4xx_hal_cortex.o</t>
  </si>
  <si>
    <t>main.o</t>
  </si>
  <si>
    <t>dnaninf.o</t>
  </si>
  <si>
    <t>fnaninf.o</t>
  </si>
  <si>
    <t>usbd_ioreq.o</t>
  </si>
  <si>
    <t>link_data.o</t>
  </si>
  <si>
    <t>auropid.o</t>
  </si>
  <si>
    <t>stm32g4xx_it.o</t>
  </si>
  <si>
    <t>d2f.o</t>
  </si>
  <si>
    <t>stm32g4xx_hal_pcd_ex.o</t>
  </si>
  <si>
    <t>dfix.o</t>
  </si>
  <si>
    <t>dfixu.o</t>
  </si>
  <si>
    <t>__dczerorl2.o</t>
  </si>
  <si>
    <t>f2d.o</t>
  </si>
  <si>
    <t>dunder.o</t>
  </si>
  <si>
    <t>dflt_clz.o</t>
  </si>
  <si>
    <t>rt_memclr_w.o</t>
  </si>
  <si>
    <t>sys_stackheap_outer.o</t>
  </si>
  <si>
    <t>dma.o</t>
  </si>
  <si>
    <t>stm32g4xx_hal_msp.o</t>
  </si>
  <si>
    <t>__scatter.o</t>
  </si>
  <si>
    <t>fpclassify.o</t>
  </si>
  <si>
    <t>__scatter_zi.o</t>
  </si>
  <si>
    <t>fabs.o</t>
  </si>
  <si>
    <t>basic.o</t>
  </si>
  <si>
    <t>_rserrno.o</t>
  </si>
  <si>
    <t>exit.o</t>
  </si>
  <si>
    <t>dretinf.o</t>
  </si>
  <si>
    <t>sys_exit.o</t>
  </si>
  <si>
    <t>__rtentry2.o</t>
  </si>
  <si>
    <t>fretinf.o</t>
  </si>
  <si>
    <t>fpinit.o</t>
  </si>
  <si>
    <t>rtexit2.o</t>
  </si>
  <si>
    <t>rt_errno_addr_intlibspace.o</t>
  </si>
  <si>
    <t>__main.o</t>
  </si>
  <si>
    <t>lsm6ds3tr_bsp_drv.o</t>
  </si>
  <si>
    <t>libinit2.o</t>
  </si>
  <si>
    <t>heapauxi.o</t>
  </si>
  <si>
    <t>__rtentry4.o</t>
  </si>
  <si>
    <t>use_no_semi.o</t>
  </si>
  <si>
    <t>rtexit.o</t>
  </si>
  <si>
    <t>libshutdown2.o</t>
  </si>
  <si>
    <t>libshutdown.o</t>
  </si>
  <si>
    <t>libinit.o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</si>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</sst>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ram_percent!$A$3:$A$99</c:f>
              <c:strCache>
                <c:ptCount val="97"/>
                <c:pt idx="0">
                  <c:v>startup_stm32g431xx.o</c:v>
                </c:pt>
                <c:pt idx="1">
                  <c:v>aurofoc.o</c:v>
                </c:pt>
                <c:pt idx="2">
                  <c:v>usbd_cdc_if.o</c:v>
                </c:pt>
                <c:pt idx="3">
                  <c:v>usbd_conf.o</c:v>
                </c:pt>
                <c:pt idx="4">
                  <c:v>usb_device.o</c:v>
                </c:pt>
                <c:pt idx="5">
                  <c:v>usbd_desc.o</c:v>
                </c:pt>
                <c:pt idx="6">
                  <c:v>motorevent.o</c:v>
                </c:pt>
                <c:pt idx="7">
                  <c:v>usart.o</c:v>
                </c:pt>
                <c:pt idx="8">
                  <c:v>tim.o</c:v>
                </c:pt>
                <c:pt idx="9">
                  <c:v>usbd_cdc.o</c:v>
                </c:pt>
                <c:pt idx="10">
                  <c:v>protocol.o</c:v>
                </c:pt>
                <c:pt idx="11">
                  <c:v>adc.o</c:v>
                </c:pt>
                <c:pt idx="12">
                  <c:v>spi.o</c:v>
                </c:pt>
                <c:pt idx="13">
                  <c:v>fdcan.o</c:v>
                </c:pt>
                <c:pt idx="14">
                  <c:v>c_w.l</c:v>
                </c:pt>
                <c:pt idx="15">
                  <c:v>libspace.o</c:v>
                </c:pt>
                <c:pt idx="16">
                  <c:v>stm32g4xx_hal.o</c:v>
                </c:pt>
                <c:pt idx="17">
                  <c:v>system_stm32g4xx.o</c:v>
                </c:pt>
                <c:pt idx="18">
                  <c:v>user_app.o</c:v>
                </c:pt>
                <c:pt idx="19">
                  <c:v>usbd_ctlreq.o</c:v>
                </c:pt>
                <c:pt idx="20">
                  <c:v>aurofoccomm.o</c:v>
                </c:pt>
                <c:pt idx="96">
                  <c:v>Totals</c:v>
                </c:pt>
              </c:strCache>
            </c:strRef>
          </c:cat>
          <c:val>
            <c:numRef>
              <c:f>ram_percent!$B$3:$B$99</c:f>
              <c:numCache>
                <c:formatCode>General</c:formatCode>
                <c:ptCount val="97"/>
                <c:pt idx="0">
                  <c:v>43.19459915161133</c:v>
                </c:pt>
                <c:pt idx="1">
                  <c:v>29.13385772705078</c:v>
                </c:pt>
                <c:pt idx="2">
                  <c:v>8.307889938354492</c:v>
                </c:pt>
                <c:pt idx="3">
                  <c:v>5.126144886016846</c:v>
                </c:pt>
                <c:pt idx="4">
                  <c:v>2.892495632171631</c:v>
                </c:pt>
                <c:pt idx="5">
                  <c:v>2.386308908462524</c:v>
                </c:pt>
                <c:pt idx="6">
                  <c:v>1.623011350631714</c:v>
                </c:pt>
                <c:pt idx="7">
                  <c:v>1.574803113937378</c:v>
                </c:pt>
                <c:pt idx="8">
                  <c:v>1.221275925636292</c:v>
                </c:pt>
                <c:pt idx="9">
                  <c:v>1.088703155517578</c:v>
                </c:pt>
                <c:pt idx="10">
                  <c:v>0.9159569144248962</c:v>
                </c:pt>
                <c:pt idx="11">
                  <c:v>0.8838180899620056</c:v>
                </c:pt>
                <c:pt idx="12">
                  <c:v>0.4017354846000671</c:v>
                </c:pt>
                <c:pt idx="13">
                  <c:v>0.4017354846000671</c:v>
                </c:pt>
                <c:pt idx="14">
                  <c:v>0.3856660723686218</c:v>
                </c:pt>
                <c:pt idx="15">
                  <c:v>0.3856660723686218</c:v>
                </c:pt>
                <c:pt idx="16">
                  <c:v>0.04820825904607773</c:v>
                </c:pt>
                <c:pt idx="17">
                  <c:v>0.01606941968202591</c:v>
                </c:pt>
                <c:pt idx="18">
                  <c:v>0.004017354920506477</c:v>
                </c:pt>
                <c:pt idx="19">
                  <c:v>0.004017354920506477</c:v>
                </c:pt>
                <c:pt idx="20">
                  <c:v>0.004017354920506477</c:v>
                </c:pt>
                <c:pt idx="96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flash_percent!$A$3:$A$99</c:f>
              <c:strCache>
                <c:ptCount val="97"/>
                <c:pt idx="0">
                  <c:v>stm32g4xx_hal_uart.o</c:v>
                </c:pt>
                <c:pt idx="1">
                  <c:v>aurofoccomm.o</c:v>
                </c:pt>
                <c:pt idx="2">
                  <c:v>aurofoc.o</c:v>
                </c:pt>
                <c:pt idx="3">
                  <c:v>stm32g4xx_hal_pcd.o</c:v>
                </c:pt>
                <c:pt idx="4">
                  <c:v>stm32g4xx_hal_tim.o</c:v>
                </c:pt>
                <c:pt idx="5">
                  <c:v>m_wm.l</c:v>
                </c:pt>
                <c:pt idx="6">
                  <c:v>fz_wm.l</c:v>
                </c:pt>
                <c:pt idx="7">
                  <c:v>stm32g4xx_ll_usb.o</c:v>
                </c:pt>
                <c:pt idx="8">
                  <c:v>stm32g4xx_hal_adc.o</c:v>
                </c:pt>
                <c:pt idx="9">
                  <c:v>stm32g4xx_hal_adc_ex.o</c:v>
                </c:pt>
                <c:pt idx="10">
                  <c:v>stm32g4xx_hal_rcc.o</c:v>
                </c:pt>
                <c:pt idx="11">
                  <c:v>stm32g4xx_hal_spi.o</c:v>
                </c:pt>
                <c:pt idx="12">
                  <c:v>rred.o</c:v>
                </c:pt>
                <c:pt idx="13">
                  <c:v>usbd_ctlreq.o</c:v>
                </c:pt>
                <c:pt idx="14">
                  <c:v>tim.o</c:v>
                </c:pt>
                <c:pt idx="15">
                  <c:v>usbd_cdc.o</c:v>
                </c:pt>
                <c:pt idx="16">
                  <c:v>stm32g4xx_hal_gpio.o</c:v>
                </c:pt>
                <c:pt idx="17">
                  <c:v>stm32g4xx_hal_fdcan.o</c:v>
                </c:pt>
                <c:pt idx="18">
                  <c:v>stm32g4xx_hal_tim_ex.o</c:v>
                </c:pt>
                <c:pt idx="19">
                  <c:v>daddsub_clz.o</c:v>
                </c:pt>
                <c:pt idx="20">
                  <c:v>stm32g4xx_hal_dma.o</c:v>
                </c:pt>
                <c:pt idx="21">
                  <c:v>ddiv.o</c:v>
                </c:pt>
                <c:pt idx="22">
                  <c:v>c_w.l</c:v>
                </c:pt>
                <c:pt idx="23">
                  <c:v>usbd_conf.o</c:v>
                </c:pt>
                <c:pt idx="24">
                  <c:v>usbd_core.o</c:v>
                </c:pt>
                <c:pt idx="25">
                  <c:v>stm32g4xx_hal_rcc_ex.o</c:v>
                </c:pt>
                <c:pt idx="26">
                  <c:v>adc.o</c:v>
                </c:pt>
                <c:pt idx="27">
                  <c:v>iic_bsp_drv.o</c:v>
                </c:pt>
                <c:pt idx="28">
                  <c:v>protocol.o</c:v>
                </c:pt>
                <c:pt idx="29">
                  <c:v>startup_stm32g431xx.o</c:v>
                </c:pt>
                <c:pt idx="30">
                  <c:v>as5047p_bsp_drv.o</c:v>
                </c:pt>
                <c:pt idx="31">
                  <c:v>usart.o</c:v>
                </c:pt>
                <c:pt idx="32">
                  <c:v>motorevent.o</c:v>
                </c:pt>
                <c:pt idx="33">
                  <c:v>cos_i.o</c:v>
                </c:pt>
                <c:pt idx="34">
                  <c:v>stm32g4xx_hal_uart_ex.o</c:v>
                </c:pt>
                <c:pt idx="35">
                  <c:v>usbd_desc.o</c:v>
                </c:pt>
                <c:pt idx="36">
                  <c:v>sin_i.o</c:v>
                </c:pt>
                <c:pt idx="37">
                  <c:v>dmul.o</c:v>
                </c:pt>
                <c:pt idx="38">
                  <c:v>poly.o</c:v>
                </c:pt>
                <c:pt idx="39">
                  <c:v>lludivv7m.o</c:v>
                </c:pt>
                <c:pt idx="40">
                  <c:v>fdcan.o</c:v>
                </c:pt>
                <c:pt idx="41">
                  <c:v>stm32g4xx_hal_pwr_ex.o</c:v>
                </c:pt>
                <c:pt idx="42">
                  <c:v>gpio.o</c:v>
                </c:pt>
                <c:pt idx="43">
                  <c:v>sin.o</c:v>
                </c:pt>
                <c:pt idx="44">
                  <c:v>cos.o</c:v>
                </c:pt>
                <c:pt idx="45">
                  <c:v>stm32g4xx_hal_cortex.o</c:v>
                </c:pt>
                <c:pt idx="46">
                  <c:v>spi.o</c:v>
                </c:pt>
                <c:pt idx="47">
                  <c:v>main.o</c:v>
                </c:pt>
                <c:pt idx="48">
                  <c:v>usbd_cdc_if.o</c:v>
                </c:pt>
                <c:pt idx="49">
                  <c:v>dnaninf.o</c:v>
                </c:pt>
                <c:pt idx="50">
                  <c:v>user_app.o</c:v>
                </c:pt>
                <c:pt idx="51">
                  <c:v>fnaninf.o</c:v>
                </c:pt>
                <c:pt idx="52">
                  <c:v>stm32g4xx_hal.o</c:v>
                </c:pt>
                <c:pt idx="53">
                  <c:v>usbd_ioreq.o</c:v>
                </c:pt>
                <c:pt idx="54">
                  <c:v>link_data.o</c:v>
                </c:pt>
                <c:pt idx="55">
                  <c:v>auropid.o</c:v>
                </c:pt>
                <c:pt idx="56">
                  <c:v>stm32g4xx_it.o</c:v>
                </c:pt>
                <c:pt idx="57">
                  <c:v>d2f.o</c:v>
                </c:pt>
                <c:pt idx="58">
                  <c:v>stm32g4xx_hal_pcd_ex.o</c:v>
                </c:pt>
                <c:pt idx="59">
                  <c:v>dfix.o</c:v>
                </c:pt>
                <c:pt idx="60">
                  <c:v>dfixu.o</c:v>
                </c:pt>
                <c:pt idx="61">
                  <c:v>__dczerorl2.o</c:v>
                </c:pt>
                <c:pt idx="62">
                  <c:v>f2d.o</c:v>
                </c:pt>
                <c:pt idx="63">
                  <c:v>dunder.o</c:v>
                </c:pt>
                <c:pt idx="64">
                  <c:v>dflt_clz.o</c:v>
                </c:pt>
                <c:pt idx="65">
                  <c:v>usb_device.o</c:v>
                </c:pt>
                <c:pt idx="66">
                  <c:v>rt_memclr_w.o</c:v>
                </c:pt>
                <c:pt idx="67">
                  <c:v>sys_stackheap_outer.o</c:v>
                </c:pt>
                <c:pt idx="68">
                  <c:v>dma.o</c:v>
                </c:pt>
                <c:pt idx="69">
                  <c:v>stm32g4xx_hal_msp.o</c:v>
                </c:pt>
                <c:pt idx="70">
                  <c:v>__scatter.o</c:v>
                </c:pt>
                <c:pt idx="71">
                  <c:v>fpclassify.o</c:v>
                </c:pt>
                <c:pt idx="72">
                  <c:v>system_stm32g4xx.o</c:v>
                </c:pt>
                <c:pt idx="73">
                  <c:v>__scatter_zi.o</c:v>
                </c:pt>
                <c:pt idx="74">
                  <c:v>fabs.o</c:v>
                </c:pt>
                <c:pt idx="75">
                  <c:v>basic.o</c:v>
                </c:pt>
                <c:pt idx="76">
                  <c:v>_rserrno.o</c:v>
                </c:pt>
                <c:pt idx="77">
                  <c:v>exit.o</c:v>
                </c:pt>
                <c:pt idx="78">
                  <c:v>dretinf.o</c:v>
                </c:pt>
                <c:pt idx="79">
                  <c:v>sys_exit.o</c:v>
                </c:pt>
                <c:pt idx="80">
                  <c:v>__rtentry2.o</c:v>
                </c:pt>
                <c:pt idx="81">
                  <c:v>fretinf.o</c:v>
                </c:pt>
                <c:pt idx="82">
                  <c:v>fpinit.o</c:v>
                </c:pt>
                <c:pt idx="83">
                  <c:v>rtexit2.o</c:v>
                </c:pt>
                <c:pt idx="84">
                  <c:v>rt_errno_addr_intlibspace.o</c:v>
                </c:pt>
                <c:pt idx="85">
                  <c:v>libspace.o</c:v>
                </c:pt>
                <c:pt idx="86">
                  <c:v>__main.o</c:v>
                </c:pt>
                <c:pt idx="87">
                  <c:v>lsm6ds3tr_bsp_drv.o</c:v>
                </c:pt>
                <c:pt idx="88">
                  <c:v>libinit2.o</c:v>
                </c:pt>
                <c:pt idx="89">
                  <c:v>heapauxi.o</c:v>
                </c:pt>
                <c:pt idx="90">
                  <c:v>__rtentry4.o</c:v>
                </c:pt>
                <c:pt idx="91">
                  <c:v>use_no_semi.o</c:v>
                </c:pt>
                <c:pt idx="92">
                  <c:v>rtexit.o</c:v>
                </c:pt>
                <c:pt idx="93">
                  <c:v>libshutdown2.o</c:v>
                </c:pt>
                <c:pt idx="94">
                  <c:v>libshutdown.o</c:v>
                </c:pt>
                <c:pt idx="95">
                  <c:v>libinit.o</c:v>
                </c:pt>
                <c:pt idx="96">
                  <c:v>Totals</c:v>
                </c:pt>
              </c:strCache>
            </c:strRef>
          </c:cat>
          <c:val>
            <c:numRef>
              <c:f>flash_percent!$B$3:$B$99</c:f>
              <c:numCache>
                <c:formatCode>General</c:formatCode>
                <c:ptCount val="97"/>
                <c:pt idx="0">
                  <c:v>7.192158222198486</c:v>
                </c:pt>
                <c:pt idx="1">
                  <c:v>6.22843074798584</c:v>
                </c:pt>
                <c:pt idx="2">
                  <c:v>5.745649337768555</c:v>
                </c:pt>
                <c:pt idx="3">
                  <c:v>5.492326736450195</c:v>
                </c:pt>
                <c:pt idx="4">
                  <c:v>5.426242828369141</c:v>
                </c:pt>
                <c:pt idx="5">
                  <c:v>5.220647811889648</c:v>
                </c:pt>
                <c:pt idx="6">
                  <c:v>4.879212856292725</c:v>
                </c:pt>
                <c:pt idx="7">
                  <c:v>4.625890254974365</c:v>
                </c:pt>
                <c:pt idx="8">
                  <c:v>4.493721961975098</c:v>
                </c:pt>
                <c:pt idx="9">
                  <c:v>3.366620063781738</c:v>
                </c:pt>
                <c:pt idx="10">
                  <c:v>3.098612308502197</c:v>
                </c:pt>
                <c:pt idx="11">
                  <c:v>2.448784828186035</c:v>
                </c:pt>
                <c:pt idx="12">
                  <c:v>2.349658489227295</c:v>
                </c:pt>
                <c:pt idx="13">
                  <c:v>2.322123527526856</c:v>
                </c:pt>
                <c:pt idx="14">
                  <c:v>2.033923149108887</c:v>
                </c:pt>
                <c:pt idx="15">
                  <c:v>1.969674706459045</c:v>
                </c:pt>
                <c:pt idx="16">
                  <c:v>1.725530505180359</c:v>
                </c:pt>
                <c:pt idx="17">
                  <c:v>1.641089677810669</c:v>
                </c:pt>
                <c:pt idx="18">
                  <c:v>1.534620761871338</c:v>
                </c:pt>
                <c:pt idx="19">
                  <c:v>1.516264081001282</c:v>
                </c:pt>
                <c:pt idx="20">
                  <c:v>1.292312264442444</c:v>
                </c:pt>
                <c:pt idx="21">
                  <c:v>1.262941479682922</c:v>
                </c:pt>
                <c:pt idx="22">
                  <c:v>1.259270191192627</c:v>
                </c:pt>
                <c:pt idx="23">
                  <c:v>1.255598783493042</c:v>
                </c:pt>
                <c:pt idx="24">
                  <c:v>1.196857333183289</c:v>
                </c:pt>
                <c:pt idx="25">
                  <c:v>1.189514636993408</c:v>
                </c:pt>
                <c:pt idx="26">
                  <c:v>1.167486548423767</c:v>
                </c:pt>
                <c:pt idx="27">
                  <c:v>1.112416505813599</c:v>
                </c:pt>
                <c:pt idx="28">
                  <c:v>1.097731113433838</c:v>
                </c:pt>
                <c:pt idx="29">
                  <c:v>0.9839195013046265</c:v>
                </c:pt>
                <c:pt idx="30">
                  <c:v>0.9398634433746338</c:v>
                </c:pt>
                <c:pt idx="31">
                  <c:v>0.9104927182197571</c:v>
                </c:pt>
                <c:pt idx="32">
                  <c:v>0.8444085717201233</c:v>
                </c:pt>
                <c:pt idx="33">
                  <c:v>0.7636390328407288</c:v>
                </c:pt>
                <c:pt idx="34">
                  <c:v>0.6938835382461548</c:v>
                </c:pt>
                <c:pt idx="35">
                  <c:v>0.6791982054710388</c:v>
                </c:pt>
                <c:pt idx="36">
                  <c:v>0.6314707398414612</c:v>
                </c:pt>
                <c:pt idx="37">
                  <c:v>0.6241280436515808</c:v>
                </c:pt>
                <c:pt idx="38">
                  <c:v>0.4552463591098785</c:v>
                </c:pt>
                <c:pt idx="39">
                  <c:v>0.4368896484375</c:v>
                </c:pt>
                <c:pt idx="40">
                  <c:v>0.4258756041526794</c:v>
                </c:pt>
                <c:pt idx="41">
                  <c:v>0.374476820230484</c:v>
                </c:pt>
                <c:pt idx="42">
                  <c:v>0.374476820230484</c:v>
                </c:pt>
                <c:pt idx="43">
                  <c:v>0.367134153842926</c:v>
                </c:pt>
                <c:pt idx="44">
                  <c:v>0.367134153842926</c:v>
                </c:pt>
                <c:pt idx="45">
                  <c:v>0.3634628057479858</c:v>
                </c:pt>
                <c:pt idx="46">
                  <c:v>0.330420732498169</c:v>
                </c:pt>
                <c:pt idx="47">
                  <c:v>0.323078066110611</c:v>
                </c:pt>
                <c:pt idx="48">
                  <c:v>0.3157353699207306</c:v>
                </c:pt>
                <c:pt idx="49">
                  <c:v>0.2863646447658539</c:v>
                </c:pt>
                <c:pt idx="50">
                  <c:v>0.2588295638561249</c:v>
                </c:pt>
                <c:pt idx="51">
                  <c:v>0.2569939196109772</c:v>
                </c:pt>
                <c:pt idx="52">
                  <c:v>0.253322571516037</c:v>
                </c:pt>
                <c:pt idx="53">
                  <c:v>0.2423085421323776</c:v>
                </c:pt>
                <c:pt idx="54">
                  <c:v>0.2276231795549393</c:v>
                </c:pt>
                <c:pt idx="55">
                  <c:v>0.2239518314599991</c:v>
                </c:pt>
                <c:pt idx="56">
                  <c:v>0.2202804833650589</c:v>
                </c:pt>
                <c:pt idx="57">
                  <c:v>0.1798957288265228</c:v>
                </c:pt>
                <c:pt idx="58">
                  <c:v>0.1762243956327438</c:v>
                </c:pt>
                <c:pt idx="59">
                  <c:v>0.1725530475378037</c:v>
                </c:pt>
                <c:pt idx="60">
                  <c:v>0.1652103662490845</c:v>
                </c:pt>
                <c:pt idx="61">
                  <c:v>0.1652103662490845</c:v>
                </c:pt>
                <c:pt idx="62">
                  <c:v>0.1578676849603653</c:v>
                </c:pt>
                <c:pt idx="63">
                  <c:v>0.1541963368654251</c:v>
                </c:pt>
                <c:pt idx="64">
                  <c:v>0.1541963368654251</c:v>
                </c:pt>
                <c:pt idx="65">
                  <c:v>0.1541963368654251</c:v>
                </c:pt>
                <c:pt idx="66">
                  <c:v>0.1431823223829269</c:v>
                </c:pt>
                <c:pt idx="67">
                  <c:v>0.1358396410942078</c:v>
                </c:pt>
                <c:pt idx="68">
                  <c:v>0.1101402416825295</c:v>
                </c:pt>
                <c:pt idx="69">
                  <c:v>0.1027975603938103</c:v>
                </c:pt>
                <c:pt idx="70">
                  <c:v>0.0954548791050911</c:v>
                </c:pt>
                <c:pt idx="71">
                  <c:v>0.08811219781637192</c:v>
                </c:pt>
                <c:pt idx="72">
                  <c:v>0.08076951652765274</c:v>
                </c:pt>
                <c:pt idx="73">
                  <c:v>0.05139878019690514</c:v>
                </c:pt>
                <c:pt idx="74">
                  <c:v>0.04405609890818596</c:v>
                </c:pt>
                <c:pt idx="75">
                  <c:v>0.04405609890818596</c:v>
                </c:pt>
                <c:pt idx="76">
                  <c:v>0.04038475826382637</c:v>
                </c:pt>
                <c:pt idx="77">
                  <c:v>0.0330420732498169</c:v>
                </c:pt>
                <c:pt idx="78">
                  <c:v>0.02202804945409298</c:v>
                </c:pt>
                <c:pt idx="79">
                  <c:v>0.02202804945409298</c:v>
                </c:pt>
                <c:pt idx="80">
                  <c:v>0.02202804945409298</c:v>
                </c:pt>
                <c:pt idx="81">
                  <c:v>0.01835670694708824</c:v>
                </c:pt>
                <c:pt idx="82">
                  <c:v>0.01835670694708824</c:v>
                </c:pt>
                <c:pt idx="83">
                  <c:v>0.01835670694708824</c:v>
                </c:pt>
                <c:pt idx="84">
                  <c:v>0.01468536630272865</c:v>
                </c:pt>
                <c:pt idx="85">
                  <c:v>0.01468536630272865</c:v>
                </c:pt>
                <c:pt idx="86">
                  <c:v>0.01468536630272865</c:v>
                </c:pt>
                <c:pt idx="87">
                  <c:v>0.01468536630272865</c:v>
                </c:pt>
                <c:pt idx="88">
                  <c:v>0.01101402472704649</c:v>
                </c:pt>
                <c:pt idx="89">
                  <c:v>0.01101402472704649</c:v>
                </c:pt>
                <c:pt idx="90">
                  <c:v>0.01101402472704649</c:v>
                </c:pt>
                <c:pt idx="91">
                  <c:v>0.003671341575682163</c:v>
                </c:pt>
                <c:pt idx="92">
                  <c:v>0.003671341575682163</c:v>
                </c:pt>
                <c:pt idx="93">
                  <c:v>0.003671341575682163</c:v>
                </c:pt>
                <c:pt idx="94">
                  <c:v>0.003671341575682163</c:v>
                </c:pt>
                <c:pt idx="95">
                  <c:v>0.003671341575682163</c:v>
                </c:pt>
                <c:pt idx="96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99" totalsRowCount="1">
  <autoFilter ref="A2:H98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99" totalsRowCount="1">
  <autoFilter ref="A2:H98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9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97</v>
      </c>
      <c r="B2" t="s">
        <v>99</v>
      </c>
      <c r="C2" t="s">
        <v>100</v>
      </c>
      <c r="D2" t="s">
        <v>101</v>
      </c>
      <c r="E2" t="s">
        <v>102</v>
      </c>
      <c r="F2" t="s">
        <v>103</v>
      </c>
      <c r="G2" t="s">
        <v>104</v>
      </c>
      <c r="H2" t="s">
        <v>105</v>
      </c>
    </row>
    <row r="3" spans="1:8">
      <c r="A3" s="1" t="s">
        <v>1</v>
      </c>
      <c r="B3" s="2">
        <v>43.19459915161133</v>
      </c>
      <c r="C3" s="1">
        <v>10752</v>
      </c>
      <c r="D3" s="1">
        <v>536</v>
      </c>
      <c r="E3" s="1">
        <v>64</v>
      </c>
      <c r="F3" s="1">
        <v>472</v>
      </c>
      <c r="G3" s="1">
        <v>0</v>
      </c>
      <c r="H3" s="1">
        <v>10752</v>
      </c>
    </row>
    <row r="4" spans="1:8">
      <c r="A4" s="1" t="s">
        <v>2</v>
      </c>
      <c r="B4" s="2">
        <v>29.13385772705078</v>
      </c>
      <c r="C4" s="1">
        <v>7252</v>
      </c>
      <c r="D4" s="1">
        <v>3130</v>
      </c>
      <c r="E4" s="1">
        <v>3078</v>
      </c>
      <c r="F4" s="1">
        <v>0</v>
      </c>
      <c r="G4" s="1">
        <v>52</v>
      </c>
      <c r="H4" s="1">
        <v>7200</v>
      </c>
    </row>
    <row r="5" spans="1:8">
      <c r="A5" s="1" t="s">
        <v>3</v>
      </c>
      <c r="B5" s="2">
        <v>8.307889938354492</v>
      </c>
      <c r="C5" s="1">
        <v>2068</v>
      </c>
      <c r="D5" s="1">
        <v>172</v>
      </c>
      <c r="E5" s="1">
        <v>152</v>
      </c>
      <c r="F5" s="1">
        <v>0</v>
      </c>
      <c r="G5" s="1">
        <v>20</v>
      </c>
      <c r="H5" s="1">
        <v>2048</v>
      </c>
    </row>
    <row r="6" spans="1:8">
      <c r="A6" s="1" t="s">
        <v>4</v>
      </c>
      <c r="B6" s="2">
        <v>5.126144886016846</v>
      </c>
      <c r="C6" s="1">
        <v>1276</v>
      </c>
      <c r="D6" s="1">
        <v>684</v>
      </c>
      <c r="E6" s="1">
        <v>684</v>
      </c>
      <c r="F6" s="1">
        <v>0</v>
      </c>
      <c r="G6" s="1">
        <v>0</v>
      </c>
      <c r="H6" s="1">
        <v>1276</v>
      </c>
    </row>
    <row r="7" spans="1:8">
      <c r="A7" s="1" t="s">
        <v>5</v>
      </c>
      <c r="B7" s="2">
        <v>2.892495632171631</v>
      </c>
      <c r="C7" s="1">
        <v>720</v>
      </c>
      <c r="D7" s="1">
        <v>84</v>
      </c>
      <c r="E7" s="1">
        <v>84</v>
      </c>
      <c r="F7" s="1">
        <v>0</v>
      </c>
      <c r="G7" s="1">
        <v>0</v>
      </c>
      <c r="H7" s="1">
        <v>720</v>
      </c>
    </row>
    <row r="8" spans="1:8">
      <c r="A8" s="1" t="s">
        <v>6</v>
      </c>
      <c r="B8" s="2">
        <v>2.386308908462524</v>
      </c>
      <c r="C8" s="1">
        <v>594</v>
      </c>
      <c r="D8" s="1">
        <v>370</v>
      </c>
      <c r="E8" s="1">
        <v>288</v>
      </c>
      <c r="F8" s="1">
        <v>0</v>
      </c>
      <c r="G8" s="1">
        <v>82</v>
      </c>
      <c r="H8" s="1">
        <v>512</v>
      </c>
    </row>
    <row r="9" spans="1:8">
      <c r="A9" s="1" t="s">
        <v>7</v>
      </c>
      <c r="B9" s="2">
        <v>1.623011350631714</v>
      </c>
      <c r="C9" s="1">
        <v>404</v>
      </c>
      <c r="D9" s="1">
        <v>460</v>
      </c>
      <c r="E9" s="1">
        <v>460</v>
      </c>
      <c r="F9" s="1">
        <v>0</v>
      </c>
      <c r="G9" s="1">
        <v>0</v>
      </c>
      <c r="H9" s="1">
        <v>404</v>
      </c>
    </row>
    <row r="10" spans="1:8">
      <c r="A10" s="1" t="s">
        <v>8</v>
      </c>
      <c r="B10" s="2">
        <v>1.574803113937378</v>
      </c>
      <c r="C10" s="1">
        <v>392</v>
      </c>
      <c r="D10" s="1">
        <v>496</v>
      </c>
      <c r="E10" s="1">
        <v>496</v>
      </c>
      <c r="F10" s="1">
        <v>0</v>
      </c>
      <c r="G10" s="1">
        <v>0</v>
      </c>
      <c r="H10" s="1">
        <v>392</v>
      </c>
    </row>
    <row r="11" spans="1:8">
      <c r="A11" s="1" t="s">
        <v>9</v>
      </c>
      <c r="B11" s="2">
        <v>1.221275925636292</v>
      </c>
      <c r="C11" s="1">
        <v>304</v>
      </c>
      <c r="D11" s="1">
        <v>1108</v>
      </c>
      <c r="E11" s="1">
        <v>1108</v>
      </c>
      <c r="F11" s="1">
        <v>0</v>
      </c>
      <c r="G11" s="1">
        <v>0</v>
      </c>
      <c r="H11" s="1">
        <v>304</v>
      </c>
    </row>
    <row r="12" spans="1:8">
      <c r="A12" s="1" t="s">
        <v>10</v>
      </c>
      <c r="B12" s="2">
        <v>1.088703155517578</v>
      </c>
      <c r="C12" s="1">
        <v>271</v>
      </c>
      <c r="D12" s="1">
        <v>1073</v>
      </c>
      <c r="E12" s="1">
        <v>802</v>
      </c>
      <c r="F12" s="1">
        <v>0</v>
      </c>
      <c r="G12" s="1">
        <v>271</v>
      </c>
      <c r="H12" s="1">
        <v>0</v>
      </c>
    </row>
    <row r="13" spans="1:8">
      <c r="A13" s="1" t="s">
        <v>11</v>
      </c>
      <c r="B13" s="2">
        <v>0.9159569144248962</v>
      </c>
      <c r="C13" s="1">
        <v>228</v>
      </c>
      <c r="D13" s="1">
        <v>598</v>
      </c>
      <c r="E13" s="1">
        <v>598</v>
      </c>
      <c r="F13" s="1">
        <v>0</v>
      </c>
      <c r="G13" s="1">
        <v>0</v>
      </c>
      <c r="H13" s="1">
        <v>228</v>
      </c>
    </row>
    <row r="14" spans="1:8">
      <c r="A14" s="1" t="s">
        <v>12</v>
      </c>
      <c r="B14" s="2">
        <v>0.8838180899620056</v>
      </c>
      <c r="C14" s="1">
        <v>220</v>
      </c>
      <c r="D14" s="1">
        <v>636</v>
      </c>
      <c r="E14" s="1">
        <v>632</v>
      </c>
      <c r="F14" s="1">
        <v>0</v>
      </c>
      <c r="G14" s="1">
        <v>4</v>
      </c>
      <c r="H14" s="1">
        <v>216</v>
      </c>
    </row>
    <row r="15" spans="1:8">
      <c r="A15" s="1" t="s">
        <v>13</v>
      </c>
      <c r="B15" s="2">
        <v>0.4017354846000671</v>
      </c>
      <c r="C15" s="1">
        <v>100</v>
      </c>
      <c r="D15" s="1">
        <v>180</v>
      </c>
      <c r="E15" s="1">
        <v>180</v>
      </c>
      <c r="F15" s="1">
        <v>0</v>
      </c>
      <c r="G15" s="1">
        <v>0</v>
      </c>
      <c r="H15" s="1">
        <v>100</v>
      </c>
    </row>
    <row r="16" spans="1:8">
      <c r="A16" s="1" t="s">
        <v>14</v>
      </c>
      <c r="B16" s="2">
        <v>0.4017354846000671</v>
      </c>
      <c r="C16" s="1">
        <v>100</v>
      </c>
      <c r="D16" s="1">
        <v>232</v>
      </c>
      <c r="E16" s="1">
        <v>232</v>
      </c>
      <c r="F16" s="1">
        <v>0</v>
      </c>
      <c r="G16" s="1">
        <v>0</v>
      </c>
      <c r="H16" s="1">
        <v>100</v>
      </c>
    </row>
    <row r="17" spans="1:8">
      <c r="A17" s="1" t="s">
        <v>15</v>
      </c>
      <c r="B17" s="2">
        <v>0.3856660723686218</v>
      </c>
      <c r="C17" s="1">
        <v>96</v>
      </c>
      <c r="D17" s="1">
        <v>686</v>
      </c>
      <c r="E17" s="1">
        <v>686</v>
      </c>
      <c r="F17" s="1">
        <v>0</v>
      </c>
      <c r="G17" s="1">
        <v>0</v>
      </c>
      <c r="H17" s="1">
        <v>96</v>
      </c>
    </row>
    <row r="18" spans="1:8">
      <c r="A18" s="1" t="s">
        <v>16</v>
      </c>
      <c r="B18" s="2">
        <v>0.3856660723686218</v>
      </c>
      <c r="C18" s="1">
        <v>96</v>
      </c>
      <c r="D18" s="1">
        <v>8</v>
      </c>
      <c r="E18" s="1">
        <v>8</v>
      </c>
      <c r="F18" s="1">
        <v>0</v>
      </c>
      <c r="G18" s="1">
        <v>0</v>
      </c>
      <c r="H18" s="1">
        <v>96</v>
      </c>
    </row>
    <row r="19" spans="1:8">
      <c r="A19" s="1" t="s">
        <v>17</v>
      </c>
      <c r="B19" s="2">
        <v>0.04820825904607773</v>
      </c>
      <c r="C19" s="1">
        <v>12</v>
      </c>
      <c r="D19" s="1">
        <v>138</v>
      </c>
      <c r="E19" s="1">
        <v>126</v>
      </c>
      <c r="F19" s="1">
        <v>0</v>
      </c>
      <c r="G19" s="1">
        <v>12</v>
      </c>
      <c r="H19" s="1">
        <v>0</v>
      </c>
    </row>
    <row r="20" spans="1:8">
      <c r="A20" s="1" t="s">
        <v>18</v>
      </c>
      <c r="B20" s="2">
        <v>0.01606941968202591</v>
      </c>
      <c r="C20" s="1">
        <v>4</v>
      </c>
      <c r="D20" s="1">
        <v>44</v>
      </c>
      <c r="E20" s="1">
        <v>16</v>
      </c>
      <c r="F20" s="1">
        <v>24</v>
      </c>
      <c r="G20" s="1">
        <v>4</v>
      </c>
      <c r="H20" s="1">
        <v>0</v>
      </c>
    </row>
    <row r="21" spans="1:8">
      <c r="A21" s="1" t="s">
        <v>19</v>
      </c>
      <c r="B21" s="2">
        <v>0.004017354920506477</v>
      </c>
      <c r="C21" s="1">
        <v>1</v>
      </c>
      <c r="D21" s="1">
        <v>141</v>
      </c>
      <c r="E21" s="1">
        <v>140</v>
      </c>
      <c r="F21" s="1">
        <v>0</v>
      </c>
      <c r="G21" s="1">
        <v>1</v>
      </c>
      <c r="H21" s="1">
        <v>0</v>
      </c>
    </row>
    <row r="22" spans="1:8">
      <c r="A22" s="1" t="s">
        <v>20</v>
      </c>
      <c r="B22" s="2">
        <v>0.004017354920506477</v>
      </c>
      <c r="C22" s="1">
        <v>1</v>
      </c>
      <c r="D22" s="1">
        <v>1265</v>
      </c>
      <c r="E22" s="1">
        <v>1264</v>
      </c>
      <c r="F22" s="1">
        <v>0</v>
      </c>
      <c r="G22" s="1">
        <v>1</v>
      </c>
      <c r="H22" s="1">
        <v>0</v>
      </c>
    </row>
    <row r="23" spans="1:8">
      <c r="A23" s="1" t="s">
        <v>21</v>
      </c>
      <c r="B23" s="2">
        <v>0.004017354920506477</v>
      </c>
      <c r="C23" s="1">
        <v>1</v>
      </c>
      <c r="D23" s="1">
        <v>3393</v>
      </c>
      <c r="E23" s="1">
        <v>3392</v>
      </c>
      <c r="F23" s="1">
        <v>0</v>
      </c>
      <c r="G23" s="1">
        <v>1</v>
      </c>
      <c r="H23" s="1">
        <v>0</v>
      </c>
    </row>
    <row r="99" spans="1:8">
      <c r="A99" t="s">
        <v>98</v>
      </c>
      <c r="B99">
        <f>SUBTOTAL(109,[ram_percent])</f>
        <v>0</v>
      </c>
      <c r="C99">
        <f>SUBTOTAL(109,[ram])</f>
        <v>0</v>
      </c>
      <c r="D99">
        <f>SUBTOTAL(109,[flash])</f>
        <v>0</v>
      </c>
      <c r="E99">
        <f>SUBTOTAL(109,[Code])</f>
        <v>0</v>
      </c>
      <c r="F99">
        <f>SUBTOTAL(109,[RO_data])</f>
        <v>0</v>
      </c>
      <c r="G99">
        <f>SUBTOTAL(109,[RW_data])</f>
        <v>0</v>
      </c>
      <c r="H99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99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97</v>
      </c>
      <c r="B2" t="s">
        <v>106</v>
      </c>
      <c r="C2" t="s">
        <v>101</v>
      </c>
      <c r="D2" t="s">
        <v>100</v>
      </c>
      <c r="E2" t="s">
        <v>102</v>
      </c>
      <c r="F2" t="s">
        <v>103</v>
      </c>
      <c r="G2" t="s">
        <v>104</v>
      </c>
      <c r="H2" t="s">
        <v>105</v>
      </c>
    </row>
    <row r="3" spans="1:8">
      <c r="A3" s="1" t="s">
        <v>22</v>
      </c>
      <c r="B3" s="2">
        <v>7.192158222198486</v>
      </c>
      <c r="C3" s="1">
        <v>3918</v>
      </c>
      <c r="D3" s="1">
        <v>0</v>
      </c>
      <c r="E3" s="1">
        <v>3894</v>
      </c>
      <c r="F3" s="1">
        <v>24</v>
      </c>
      <c r="G3" s="1">
        <v>0</v>
      </c>
      <c r="H3" s="1">
        <v>0</v>
      </c>
    </row>
    <row r="4" spans="1:8">
      <c r="A4" s="1" t="s">
        <v>21</v>
      </c>
      <c r="B4" s="2">
        <v>6.22843074798584</v>
      </c>
      <c r="C4" s="1">
        <v>3393</v>
      </c>
      <c r="D4" s="1">
        <v>1</v>
      </c>
      <c r="E4" s="1">
        <v>3392</v>
      </c>
      <c r="F4" s="1">
        <v>0</v>
      </c>
      <c r="G4" s="1">
        <v>1</v>
      </c>
      <c r="H4" s="1">
        <v>0</v>
      </c>
    </row>
    <row r="5" spans="1:8">
      <c r="A5" s="1" t="s">
        <v>2</v>
      </c>
      <c r="B5" s="2">
        <v>5.745649337768555</v>
      </c>
      <c r="C5" s="1">
        <v>3130</v>
      </c>
      <c r="D5" s="1">
        <v>7252</v>
      </c>
      <c r="E5" s="1">
        <v>3078</v>
      </c>
      <c r="F5" s="1">
        <v>0</v>
      </c>
      <c r="G5" s="1">
        <v>52</v>
      </c>
      <c r="H5" s="1">
        <v>7200</v>
      </c>
    </row>
    <row r="6" spans="1:8">
      <c r="A6" s="1" t="s">
        <v>23</v>
      </c>
      <c r="B6" s="2">
        <v>5.492326736450195</v>
      </c>
      <c r="C6" s="1">
        <v>2992</v>
      </c>
      <c r="D6" s="1">
        <v>0</v>
      </c>
      <c r="E6" s="1">
        <v>2992</v>
      </c>
      <c r="F6" s="1">
        <v>0</v>
      </c>
      <c r="G6" s="1">
        <v>0</v>
      </c>
      <c r="H6" s="1">
        <v>0</v>
      </c>
    </row>
    <row r="7" spans="1:8">
      <c r="A7" s="1" t="s">
        <v>24</v>
      </c>
      <c r="B7" s="2">
        <v>5.426242828369141</v>
      </c>
      <c r="C7" s="1">
        <v>2956</v>
      </c>
      <c r="D7" s="1">
        <v>0</v>
      </c>
      <c r="E7" s="1">
        <v>2956</v>
      </c>
      <c r="F7" s="1">
        <v>0</v>
      </c>
      <c r="G7" s="1">
        <v>0</v>
      </c>
      <c r="H7" s="1">
        <v>0</v>
      </c>
    </row>
    <row r="8" spans="1:8">
      <c r="A8" s="1" t="s">
        <v>25</v>
      </c>
      <c r="B8" s="2">
        <v>5.220647811889648</v>
      </c>
      <c r="C8" s="1">
        <v>2844</v>
      </c>
      <c r="D8" s="1">
        <v>0</v>
      </c>
      <c r="E8" s="1">
        <v>2556</v>
      </c>
      <c r="F8" s="1">
        <v>288</v>
      </c>
      <c r="G8" s="1">
        <v>0</v>
      </c>
      <c r="H8" s="1">
        <v>0</v>
      </c>
    </row>
    <row r="9" spans="1:8">
      <c r="A9" s="1" t="s">
        <v>26</v>
      </c>
      <c r="B9" s="2">
        <v>4.879212856292725</v>
      </c>
      <c r="C9" s="1">
        <v>2658</v>
      </c>
      <c r="D9" s="1">
        <v>0</v>
      </c>
      <c r="E9" s="1">
        <v>2658</v>
      </c>
      <c r="F9" s="1">
        <v>0</v>
      </c>
      <c r="G9" s="1">
        <v>0</v>
      </c>
      <c r="H9" s="1">
        <v>0</v>
      </c>
    </row>
    <row r="10" spans="1:8">
      <c r="A10" s="1" t="s">
        <v>27</v>
      </c>
      <c r="B10" s="2">
        <v>4.625890254974365</v>
      </c>
      <c r="C10" s="1">
        <v>2520</v>
      </c>
      <c r="D10" s="1">
        <v>0</v>
      </c>
      <c r="E10" s="1">
        <v>2520</v>
      </c>
      <c r="F10" s="1">
        <v>0</v>
      </c>
      <c r="G10" s="1">
        <v>0</v>
      </c>
      <c r="H10" s="1">
        <v>0</v>
      </c>
    </row>
    <row r="11" spans="1:8">
      <c r="A11" s="1" t="s">
        <v>28</v>
      </c>
      <c r="B11" s="2">
        <v>4.493721961975098</v>
      </c>
      <c r="C11" s="1">
        <v>2448</v>
      </c>
      <c r="D11" s="1">
        <v>0</v>
      </c>
      <c r="E11" s="1">
        <v>2448</v>
      </c>
      <c r="F11" s="1">
        <v>0</v>
      </c>
      <c r="G11" s="1">
        <v>0</v>
      </c>
      <c r="H11" s="1">
        <v>0</v>
      </c>
    </row>
    <row r="12" spans="1:8">
      <c r="A12" s="1" t="s">
        <v>29</v>
      </c>
      <c r="B12" s="2">
        <v>3.366620063781738</v>
      </c>
      <c r="C12" s="1">
        <v>1834</v>
      </c>
      <c r="D12" s="1">
        <v>0</v>
      </c>
      <c r="E12" s="1">
        <v>1834</v>
      </c>
      <c r="F12" s="1">
        <v>0</v>
      </c>
      <c r="G12" s="1">
        <v>0</v>
      </c>
      <c r="H12" s="1">
        <v>0</v>
      </c>
    </row>
    <row r="13" spans="1:8">
      <c r="A13" s="1" t="s">
        <v>30</v>
      </c>
      <c r="B13" s="2">
        <v>3.098612308502197</v>
      </c>
      <c r="C13" s="1">
        <v>1688</v>
      </c>
      <c r="D13" s="1">
        <v>0</v>
      </c>
      <c r="E13" s="1">
        <v>1688</v>
      </c>
      <c r="F13" s="1">
        <v>0</v>
      </c>
      <c r="G13" s="1">
        <v>0</v>
      </c>
      <c r="H13" s="1">
        <v>0</v>
      </c>
    </row>
    <row r="14" spans="1:8">
      <c r="A14" s="1" t="s">
        <v>31</v>
      </c>
      <c r="B14" s="2">
        <v>2.448784828186035</v>
      </c>
      <c r="C14" s="1">
        <v>1334</v>
      </c>
      <c r="D14" s="1">
        <v>0</v>
      </c>
      <c r="E14" s="1">
        <v>1334</v>
      </c>
      <c r="F14" s="1">
        <v>0</v>
      </c>
      <c r="G14" s="1">
        <v>0</v>
      </c>
      <c r="H14" s="1">
        <v>0</v>
      </c>
    </row>
    <row r="15" spans="1:8">
      <c r="A15" s="1" t="s">
        <v>32</v>
      </c>
      <c r="B15" s="2">
        <v>2.349658489227295</v>
      </c>
      <c r="C15" s="1">
        <v>1280</v>
      </c>
      <c r="D15" s="1">
        <v>0</v>
      </c>
      <c r="E15" s="1">
        <v>1080</v>
      </c>
      <c r="F15" s="1">
        <v>200</v>
      </c>
      <c r="G15" s="1">
        <v>0</v>
      </c>
      <c r="H15" s="1">
        <v>0</v>
      </c>
    </row>
    <row r="16" spans="1:8">
      <c r="A16" s="1" t="s">
        <v>20</v>
      </c>
      <c r="B16" s="2">
        <v>2.322123527526856</v>
      </c>
      <c r="C16" s="1">
        <v>1265</v>
      </c>
      <c r="D16" s="1">
        <v>1</v>
      </c>
      <c r="E16" s="1">
        <v>1264</v>
      </c>
      <c r="F16" s="1">
        <v>0</v>
      </c>
      <c r="G16" s="1">
        <v>1</v>
      </c>
      <c r="H16" s="1">
        <v>0</v>
      </c>
    </row>
    <row r="17" spans="1:8">
      <c r="A17" s="1" t="s">
        <v>9</v>
      </c>
      <c r="B17" s="2">
        <v>2.033923149108887</v>
      </c>
      <c r="C17" s="1">
        <v>1108</v>
      </c>
      <c r="D17" s="1">
        <v>304</v>
      </c>
      <c r="E17" s="1">
        <v>1108</v>
      </c>
      <c r="F17" s="1">
        <v>0</v>
      </c>
      <c r="G17" s="1">
        <v>0</v>
      </c>
      <c r="H17" s="1">
        <v>304</v>
      </c>
    </row>
    <row r="18" spans="1:8">
      <c r="A18" s="1" t="s">
        <v>10</v>
      </c>
      <c r="B18" s="2">
        <v>1.969674706459045</v>
      </c>
      <c r="C18" s="1">
        <v>1073</v>
      </c>
      <c r="D18" s="1">
        <v>271</v>
      </c>
      <c r="E18" s="1">
        <v>802</v>
      </c>
      <c r="F18" s="1">
        <v>0</v>
      </c>
      <c r="G18" s="1">
        <v>271</v>
      </c>
      <c r="H18" s="1">
        <v>0</v>
      </c>
    </row>
    <row r="19" spans="1:8">
      <c r="A19" s="1" t="s">
        <v>33</v>
      </c>
      <c r="B19" s="2">
        <v>1.725530505180359</v>
      </c>
      <c r="C19" s="1">
        <v>940</v>
      </c>
      <c r="D19" s="1">
        <v>0</v>
      </c>
      <c r="E19" s="1">
        <v>940</v>
      </c>
      <c r="F19" s="1">
        <v>0</v>
      </c>
      <c r="G19" s="1">
        <v>0</v>
      </c>
      <c r="H19" s="1">
        <v>0</v>
      </c>
    </row>
    <row r="20" spans="1:8">
      <c r="A20" s="1" t="s">
        <v>34</v>
      </c>
      <c r="B20" s="2">
        <v>1.641089677810669</v>
      </c>
      <c r="C20" s="1">
        <v>894</v>
      </c>
      <c r="D20" s="1">
        <v>0</v>
      </c>
      <c r="E20" s="1">
        <v>894</v>
      </c>
      <c r="F20" s="1">
        <v>0</v>
      </c>
      <c r="G20" s="1">
        <v>0</v>
      </c>
      <c r="H20" s="1">
        <v>0</v>
      </c>
    </row>
    <row r="21" spans="1:8">
      <c r="A21" s="1" t="s">
        <v>35</v>
      </c>
      <c r="B21" s="2">
        <v>1.534620761871338</v>
      </c>
      <c r="C21" s="1">
        <v>836</v>
      </c>
      <c r="D21" s="1">
        <v>0</v>
      </c>
      <c r="E21" s="1">
        <v>836</v>
      </c>
      <c r="F21" s="1">
        <v>0</v>
      </c>
      <c r="G21" s="1">
        <v>0</v>
      </c>
      <c r="H21" s="1">
        <v>0</v>
      </c>
    </row>
    <row r="22" spans="1:8">
      <c r="A22" s="1" t="s">
        <v>36</v>
      </c>
      <c r="B22" s="2">
        <v>1.516264081001282</v>
      </c>
      <c r="C22" s="1">
        <v>826</v>
      </c>
      <c r="D22" s="1">
        <v>0</v>
      </c>
      <c r="E22" s="1">
        <v>826</v>
      </c>
      <c r="F22" s="1">
        <v>0</v>
      </c>
      <c r="G22" s="1">
        <v>0</v>
      </c>
      <c r="H22" s="1">
        <v>0</v>
      </c>
    </row>
    <row r="23" spans="1:8">
      <c r="A23" s="1" t="s">
        <v>37</v>
      </c>
      <c r="B23" s="2">
        <v>1.292312264442444</v>
      </c>
      <c r="C23" s="1">
        <v>704</v>
      </c>
      <c r="D23" s="1">
        <v>0</v>
      </c>
      <c r="E23" s="1">
        <v>704</v>
      </c>
      <c r="F23" s="1">
        <v>0</v>
      </c>
      <c r="G23" s="1">
        <v>0</v>
      </c>
      <c r="H23" s="1">
        <v>0</v>
      </c>
    </row>
    <row r="24" spans="1:8">
      <c r="A24" s="1" t="s">
        <v>38</v>
      </c>
      <c r="B24" s="2">
        <v>1.262941479682922</v>
      </c>
      <c r="C24" s="1">
        <v>688</v>
      </c>
      <c r="D24" s="1">
        <v>0</v>
      </c>
      <c r="E24" s="1">
        <v>688</v>
      </c>
      <c r="F24" s="1">
        <v>0</v>
      </c>
      <c r="G24" s="1">
        <v>0</v>
      </c>
      <c r="H24" s="1">
        <v>0</v>
      </c>
    </row>
    <row r="25" spans="1:8">
      <c r="A25" s="1" t="s">
        <v>15</v>
      </c>
      <c r="B25" s="2">
        <v>1.259270191192627</v>
      </c>
      <c r="C25" s="1">
        <v>686</v>
      </c>
      <c r="D25" s="1">
        <v>96</v>
      </c>
      <c r="E25" s="1">
        <v>686</v>
      </c>
      <c r="F25" s="1">
        <v>0</v>
      </c>
      <c r="G25" s="1">
        <v>0</v>
      </c>
      <c r="H25" s="1">
        <v>96</v>
      </c>
    </row>
    <row r="26" spans="1:8">
      <c r="A26" s="1" t="s">
        <v>4</v>
      </c>
      <c r="B26" s="2">
        <v>1.255598783493042</v>
      </c>
      <c r="C26" s="1">
        <v>684</v>
      </c>
      <c r="D26" s="1">
        <v>1276</v>
      </c>
      <c r="E26" s="1">
        <v>684</v>
      </c>
      <c r="F26" s="1">
        <v>0</v>
      </c>
      <c r="G26" s="1">
        <v>0</v>
      </c>
      <c r="H26" s="1">
        <v>1276</v>
      </c>
    </row>
    <row r="27" spans="1:8">
      <c r="A27" s="1" t="s">
        <v>39</v>
      </c>
      <c r="B27" s="2">
        <v>1.196857333183289</v>
      </c>
      <c r="C27" s="1">
        <v>652</v>
      </c>
      <c r="D27" s="1">
        <v>0</v>
      </c>
      <c r="E27" s="1">
        <v>652</v>
      </c>
      <c r="F27" s="1">
        <v>0</v>
      </c>
      <c r="G27" s="1">
        <v>0</v>
      </c>
      <c r="H27" s="1">
        <v>0</v>
      </c>
    </row>
    <row r="28" spans="1:8">
      <c r="A28" s="1" t="s">
        <v>40</v>
      </c>
      <c r="B28" s="2">
        <v>1.189514636993408</v>
      </c>
      <c r="C28" s="1">
        <v>648</v>
      </c>
      <c r="D28" s="1">
        <v>0</v>
      </c>
      <c r="E28" s="1">
        <v>648</v>
      </c>
      <c r="F28" s="1">
        <v>0</v>
      </c>
      <c r="G28" s="1">
        <v>0</v>
      </c>
      <c r="H28" s="1">
        <v>0</v>
      </c>
    </row>
    <row r="29" spans="1:8">
      <c r="A29" s="1" t="s">
        <v>12</v>
      </c>
      <c r="B29" s="2">
        <v>1.167486548423767</v>
      </c>
      <c r="C29" s="1">
        <v>636</v>
      </c>
      <c r="D29" s="1">
        <v>220</v>
      </c>
      <c r="E29" s="1">
        <v>632</v>
      </c>
      <c r="F29" s="1">
        <v>0</v>
      </c>
      <c r="G29" s="1">
        <v>4</v>
      </c>
      <c r="H29" s="1">
        <v>216</v>
      </c>
    </row>
    <row r="30" spans="1:8">
      <c r="A30" s="1" t="s">
        <v>41</v>
      </c>
      <c r="B30" s="2">
        <v>1.112416505813599</v>
      </c>
      <c r="C30" s="1">
        <v>606</v>
      </c>
      <c r="D30" s="1">
        <v>0</v>
      </c>
      <c r="E30" s="1">
        <v>606</v>
      </c>
      <c r="F30" s="1">
        <v>0</v>
      </c>
      <c r="G30" s="1">
        <v>0</v>
      </c>
      <c r="H30" s="1">
        <v>0</v>
      </c>
    </row>
    <row r="31" spans="1:8">
      <c r="A31" s="1" t="s">
        <v>11</v>
      </c>
      <c r="B31" s="2">
        <v>1.097731113433838</v>
      </c>
      <c r="C31" s="1">
        <v>598</v>
      </c>
      <c r="D31" s="1">
        <v>228</v>
      </c>
      <c r="E31" s="1">
        <v>598</v>
      </c>
      <c r="F31" s="1">
        <v>0</v>
      </c>
      <c r="G31" s="1">
        <v>0</v>
      </c>
      <c r="H31" s="1">
        <v>228</v>
      </c>
    </row>
    <row r="32" spans="1:8">
      <c r="A32" s="1" t="s">
        <v>1</v>
      </c>
      <c r="B32" s="2">
        <v>0.9839195013046265</v>
      </c>
      <c r="C32" s="1">
        <v>536</v>
      </c>
      <c r="D32" s="1">
        <v>10752</v>
      </c>
      <c r="E32" s="1">
        <v>64</v>
      </c>
      <c r="F32" s="1">
        <v>472</v>
      </c>
      <c r="G32" s="1">
        <v>0</v>
      </c>
      <c r="H32" s="1">
        <v>10752</v>
      </c>
    </row>
    <row r="33" spans="1:8">
      <c r="A33" s="1" t="s">
        <v>42</v>
      </c>
      <c r="B33" s="2">
        <v>0.9398634433746338</v>
      </c>
      <c r="C33" s="1">
        <v>512</v>
      </c>
      <c r="D33" s="1">
        <v>0</v>
      </c>
      <c r="E33" s="1">
        <v>512</v>
      </c>
      <c r="F33" s="1">
        <v>0</v>
      </c>
      <c r="G33" s="1">
        <v>0</v>
      </c>
      <c r="H33" s="1">
        <v>0</v>
      </c>
    </row>
    <row r="34" spans="1:8">
      <c r="A34" s="1" t="s">
        <v>8</v>
      </c>
      <c r="B34" s="2">
        <v>0.9104927182197571</v>
      </c>
      <c r="C34" s="1">
        <v>496</v>
      </c>
      <c r="D34" s="1">
        <v>392</v>
      </c>
      <c r="E34" s="1">
        <v>496</v>
      </c>
      <c r="F34" s="1">
        <v>0</v>
      </c>
      <c r="G34" s="1">
        <v>0</v>
      </c>
      <c r="H34" s="1">
        <v>392</v>
      </c>
    </row>
    <row r="35" spans="1:8">
      <c r="A35" s="1" t="s">
        <v>7</v>
      </c>
      <c r="B35" s="2">
        <v>0.8444085717201233</v>
      </c>
      <c r="C35" s="1">
        <v>460</v>
      </c>
      <c r="D35" s="1">
        <v>404</v>
      </c>
      <c r="E35" s="1">
        <v>460</v>
      </c>
      <c r="F35" s="1">
        <v>0</v>
      </c>
      <c r="G35" s="1">
        <v>0</v>
      </c>
      <c r="H35" s="1">
        <v>404</v>
      </c>
    </row>
    <row r="36" spans="1:8">
      <c r="A36" s="1" t="s">
        <v>43</v>
      </c>
      <c r="B36" s="2">
        <v>0.7636390328407288</v>
      </c>
      <c r="C36" s="1">
        <v>416</v>
      </c>
      <c r="D36" s="1">
        <v>0</v>
      </c>
      <c r="E36" s="1">
        <v>368</v>
      </c>
      <c r="F36" s="1">
        <v>48</v>
      </c>
      <c r="G36" s="1">
        <v>0</v>
      </c>
      <c r="H36" s="1">
        <v>0</v>
      </c>
    </row>
    <row r="37" spans="1:8">
      <c r="A37" s="1" t="s">
        <v>44</v>
      </c>
      <c r="B37" s="2">
        <v>0.6938835382461548</v>
      </c>
      <c r="C37" s="1">
        <v>378</v>
      </c>
      <c r="D37" s="1">
        <v>0</v>
      </c>
      <c r="E37" s="1">
        <v>362</v>
      </c>
      <c r="F37" s="1">
        <v>16</v>
      </c>
      <c r="G37" s="1">
        <v>0</v>
      </c>
      <c r="H37" s="1">
        <v>0</v>
      </c>
    </row>
    <row r="38" spans="1:8">
      <c r="A38" s="1" t="s">
        <v>6</v>
      </c>
      <c r="B38" s="2">
        <v>0.6791982054710388</v>
      </c>
      <c r="C38" s="1">
        <v>370</v>
      </c>
      <c r="D38" s="1">
        <v>594</v>
      </c>
      <c r="E38" s="1">
        <v>288</v>
      </c>
      <c r="F38" s="1">
        <v>0</v>
      </c>
      <c r="G38" s="1">
        <v>82</v>
      </c>
      <c r="H38" s="1">
        <v>512</v>
      </c>
    </row>
    <row r="39" spans="1:8">
      <c r="A39" s="1" t="s">
        <v>45</v>
      </c>
      <c r="B39" s="2">
        <v>0.6314707398414612</v>
      </c>
      <c r="C39" s="1">
        <v>344</v>
      </c>
      <c r="D39" s="1">
        <v>0</v>
      </c>
      <c r="E39" s="1">
        <v>304</v>
      </c>
      <c r="F39" s="1">
        <v>40</v>
      </c>
      <c r="G39" s="1">
        <v>0</v>
      </c>
      <c r="H39" s="1">
        <v>0</v>
      </c>
    </row>
    <row r="40" spans="1:8">
      <c r="A40" s="1" t="s">
        <v>46</v>
      </c>
      <c r="B40" s="2">
        <v>0.6241280436515808</v>
      </c>
      <c r="C40" s="1">
        <v>340</v>
      </c>
      <c r="D40" s="1">
        <v>0</v>
      </c>
      <c r="E40" s="1">
        <v>340</v>
      </c>
      <c r="F40" s="1">
        <v>0</v>
      </c>
      <c r="G40" s="1">
        <v>0</v>
      </c>
      <c r="H40" s="1">
        <v>0</v>
      </c>
    </row>
    <row r="41" spans="1:8">
      <c r="A41" s="1" t="s">
        <v>47</v>
      </c>
      <c r="B41" s="2">
        <v>0.4552463591098785</v>
      </c>
      <c r="C41" s="1">
        <v>248</v>
      </c>
      <c r="D41" s="1">
        <v>0</v>
      </c>
      <c r="E41" s="1">
        <v>248</v>
      </c>
      <c r="F41" s="1">
        <v>0</v>
      </c>
      <c r="G41" s="1">
        <v>0</v>
      </c>
      <c r="H41" s="1">
        <v>0</v>
      </c>
    </row>
    <row r="42" spans="1:8">
      <c r="A42" s="1" t="s">
        <v>48</v>
      </c>
      <c r="B42" s="2">
        <v>0.4368896484375</v>
      </c>
      <c r="C42" s="1">
        <v>238</v>
      </c>
      <c r="D42" s="1">
        <v>0</v>
      </c>
      <c r="E42" s="1">
        <v>238</v>
      </c>
      <c r="F42" s="1">
        <v>0</v>
      </c>
      <c r="G42" s="1">
        <v>0</v>
      </c>
      <c r="H42" s="1">
        <v>0</v>
      </c>
    </row>
    <row r="43" spans="1:8">
      <c r="A43" s="1" t="s">
        <v>14</v>
      </c>
      <c r="B43" s="2">
        <v>0.4258756041526794</v>
      </c>
      <c r="C43" s="1">
        <v>232</v>
      </c>
      <c r="D43" s="1">
        <v>100</v>
      </c>
      <c r="E43" s="1">
        <v>232</v>
      </c>
      <c r="F43" s="1">
        <v>0</v>
      </c>
      <c r="G43" s="1">
        <v>0</v>
      </c>
      <c r="H43" s="1">
        <v>100</v>
      </c>
    </row>
    <row r="44" spans="1:8">
      <c r="A44" s="1" t="s">
        <v>49</v>
      </c>
      <c r="B44" s="2">
        <v>0.374476820230484</v>
      </c>
      <c r="C44" s="1">
        <v>204</v>
      </c>
      <c r="D44" s="1">
        <v>0</v>
      </c>
      <c r="E44" s="1">
        <v>204</v>
      </c>
      <c r="F44" s="1">
        <v>0</v>
      </c>
      <c r="G44" s="1">
        <v>0</v>
      </c>
      <c r="H44" s="1">
        <v>0</v>
      </c>
    </row>
    <row r="45" spans="1:8">
      <c r="A45" s="1" t="s">
        <v>50</v>
      </c>
      <c r="B45" s="2">
        <v>0.374476820230484</v>
      </c>
      <c r="C45" s="1">
        <v>204</v>
      </c>
      <c r="D45" s="1">
        <v>0</v>
      </c>
      <c r="E45" s="1">
        <v>204</v>
      </c>
      <c r="F45" s="1">
        <v>0</v>
      </c>
      <c r="G45" s="1">
        <v>0</v>
      </c>
      <c r="H45" s="1">
        <v>0</v>
      </c>
    </row>
    <row r="46" spans="1:8">
      <c r="A46" s="1" t="s">
        <v>51</v>
      </c>
      <c r="B46" s="2">
        <v>0.367134153842926</v>
      </c>
      <c r="C46" s="1">
        <v>200</v>
      </c>
      <c r="D46" s="1">
        <v>0</v>
      </c>
      <c r="E46" s="1">
        <v>200</v>
      </c>
      <c r="F46" s="1">
        <v>0</v>
      </c>
      <c r="G46" s="1">
        <v>0</v>
      </c>
      <c r="H46" s="1">
        <v>0</v>
      </c>
    </row>
    <row r="47" spans="1:8">
      <c r="A47" s="1" t="s">
        <v>52</v>
      </c>
      <c r="B47" s="2">
        <v>0.367134153842926</v>
      </c>
      <c r="C47" s="1">
        <v>200</v>
      </c>
      <c r="D47" s="1">
        <v>0</v>
      </c>
      <c r="E47" s="1">
        <v>200</v>
      </c>
      <c r="F47" s="1">
        <v>0</v>
      </c>
      <c r="G47" s="1">
        <v>0</v>
      </c>
      <c r="H47" s="1">
        <v>0</v>
      </c>
    </row>
    <row r="48" spans="1:8">
      <c r="A48" s="1" t="s">
        <v>53</v>
      </c>
      <c r="B48" s="2">
        <v>0.3634628057479858</v>
      </c>
      <c r="C48" s="1">
        <v>198</v>
      </c>
      <c r="D48" s="1">
        <v>0</v>
      </c>
      <c r="E48" s="1">
        <v>198</v>
      </c>
      <c r="F48" s="1">
        <v>0</v>
      </c>
      <c r="G48" s="1">
        <v>0</v>
      </c>
      <c r="H48" s="1">
        <v>0</v>
      </c>
    </row>
    <row r="49" spans="1:8">
      <c r="A49" s="1" t="s">
        <v>13</v>
      </c>
      <c r="B49" s="2">
        <v>0.330420732498169</v>
      </c>
      <c r="C49" s="1">
        <v>180</v>
      </c>
      <c r="D49" s="1">
        <v>100</v>
      </c>
      <c r="E49" s="1">
        <v>180</v>
      </c>
      <c r="F49" s="1">
        <v>0</v>
      </c>
      <c r="G49" s="1">
        <v>0</v>
      </c>
      <c r="H49" s="1">
        <v>100</v>
      </c>
    </row>
    <row r="50" spans="1:8">
      <c r="A50" s="1" t="s">
        <v>54</v>
      </c>
      <c r="B50" s="2">
        <v>0.323078066110611</v>
      </c>
      <c r="C50" s="1">
        <v>176</v>
      </c>
      <c r="D50" s="1">
        <v>0</v>
      </c>
      <c r="E50" s="1">
        <v>176</v>
      </c>
      <c r="F50" s="1">
        <v>0</v>
      </c>
      <c r="G50" s="1">
        <v>0</v>
      </c>
      <c r="H50" s="1">
        <v>0</v>
      </c>
    </row>
    <row r="51" spans="1:8">
      <c r="A51" s="1" t="s">
        <v>3</v>
      </c>
      <c r="B51" s="2">
        <v>0.3157353699207306</v>
      </c>
      <c r="C51" s="1">
        <v>172</v>
      </c>
      <c r="D51" s="1">
        <v>2068</v>
      </c>
      <c r="E51" s="1">
        <v>152</v>
      </c>
      <c r="F51" s="1">
        <v>0</v>
      </c>
      <c r="G51" s="1">
        <v>20</v>
      </c>
      <c r="H51" s="1">
        <v>2048</v>
      </c>
    </row>
    <row r="52" spans="1:8">
      <c r="A52" s="1" t="s">
        <v>55</v>
      </c>
      <c r="B52" s="2">
        <v>0.2863646447658539</v>
      </c>
      <c r="C52" s="1">
        <v>156</v>
      </c>
      <c r="D52" s="1">
        <v>0</v>
      </c>
      <c r="E52" s="1">
        <v>156</v>
      </c>
      <c r="F52" s="1">
        <v>0</v>
      </c>
      <c r="G52" s="1">
        <v>0</v>
      </c>
      <c r="H52" s="1">
        <v>0</v>
      </c>
    </row>
    <row r="53" spans="1:8">
      <c r="A53" s="1" t="s">
        <v>19</v>
      </c>
      <c r="B53" s="2">
        <v>0.2588295638561249</v>
      </c>
      <c r="C53" s="1">
        <v>141</v>
      </c>
      <c r="D53" s="1">
        <v>1</v>
      </c>
      <c r="E53" s="1">
        <v>140</v>
      </c>
      <c r="F53" s="1">
        <v>0</v>
      </c>
      <c r="G53" s="1">
        <v>1</v>
      </c>
      <c r="H53" s="1">
        <v>0</v>
      </c>
    </row>
    <row r="54" spans="1:8">
      <c r="A54" s="1" t="s">
        <v>56</v>
      </c>
      <c r="B54" s="2">
        <v>0.2569939196109772</v>
      </c>
      <c r="C54" s="1">
        <v>140</v>
      </c>
      <c r="D54" s="1">
        <v>0</v>
      </c>
      <c r="E54" s="1">
        <v>140</v>
      </c>
      <c r="F54" s="1">
        <v>0</v>
      </c>
      <c r="G54" s="1">
        <v>0</v>
      </c>
      <c r="H54" s="1">
        <v>0</v>
      </c>
    </row>
    <row r="55" spans="1:8">
      <c r="A55" s="1" t="s">
        <v>17</v>
      </c>
      <c r="B55" s="2">
        <v>0.253322571516037</v>
      </c>
      <c r="C55" s="1">
        <v>138</v>
      </c>
      <c r="D55" s="1">
        <v>12</v>
      </c>
      <c r="E55" s="1">
        <v>126</v>
      </c>
      <c r="F55" s="1">
        <v>0</v>
      </c>
      <c r="G55" s="1">
        <v>12</v>
      </c>
      <c r="H55" s="1">
        <v>0</v>
      </c>
    </row>
    <row r="56" spans="1:8">
      <c r="A56" s="1" t="s">
        <v>57</v>
      </c>
      <c r="B56" s="2">
        <v>0.2423085421323776</v>
      </c>
      <c r="C56" s="1">
        <v>132</v>
      </c>
      <c r="D56" s="1">
        <v>0</v>
      </c>
      <c r="E56" s="1">
        <v>132</v>
      </c>
      <c r="F56" s="1">
        <v>0</v>
      </c>
      <c r="G56" s="1">
        <v>0</v>
      </c>
      <c r="H56" s="1">
        <v>0</v>
      </c>
    </row>
    <row r="57" spans="1:8">
      <c r="A57" s="1" t="s">
        <v>58</v>
      </c>
      <c r="B57" s="2">
        <v>0.2276231795549393</v>
      </c>
      <c r="C57" s="1">
        <v>124</v>
      </c>
      <c r="D57" s="1">
        <v>0</v>
      </c>
      <c r="E57" s="1">
        <v>124</v>
      </c>
      <c r="F57" s="1">
        <v>0</v>
      </c>
      <c r="G57" s="1">
        <v>0</v>
      </c>
      <c r="H57" s="1">
        <v>0</v>
      </c>
    </row>
    <row r="58" spans="1:8">
      <c r="A58" s="1" t="s">
        <v>59</v>
      </c>
      <c r="B58" s="2">
        <v>0.2239518314599991</v>
      </c>
      <c r="C58" s="1">
        <v>122</v>
      </c>
      <c r="D58" s="1">
        <v>0</v>
      </c>
      <c r="E58" s="1">
        <v>122</v>
      </c>
      <c r="F58" s="1">
        <v>0</v>
      </c>
      <c r="G58" s="1">
        <v>0</v>
      </c>
      <c r="H58" s="1">
        <v>0</v>
      </c>
    </row>
    <row r="59" spans="1:8">
      <c r="A59" s="1" t="s">
        <v>60</v>
      </c>
      <c r="B59" s="2">
        <v>0.2202804833650589</v>
      </c>
      <c r="C59" s="1">
        <v>120</v>
      </c>
      <c r="D59" s="1">
        <v>0</v>
      </c>
      <c r="E59" s="1">
        <v>120</v>
      </c>
      <c r="F59" s="1">
        <v>0</v>
      </c>
      <c r="G59" s="1">
        <v>0</v>
      </c>
      <c r="H59" s="1">
        <v>0</v>
      </c>
    </row>
    <row r="60" spans="1:8">
      <c r="A60" s="1" t="s">
        <v>61</v>
      </c>
      <c r="B60" s="2">
        <v>0.1798957288265228</v>
      </c>
      <c r="C60" s="1">
        <v>98</v>
      </c>
      <c r="D60" s="1">
        <v>0</v>
      </c>
      <c r="E60" s="1">
        <v>98</v>
      </c>
      <c r="F60" s="1">
        <v>0</v>
      </c>
      <c r="G60" s="1">
        <v>0</v>
      </c>
      <c r="H60" s="1">
        <v>0</v>
      </c>
    </row>
    <row r="61" spans="1:8">
      <c r="A61" s="1" t="s">
        <v>62</v>
      </c>
      <c r="B61" s="2">
        <v>0.1762243956327438</v>
      </c>
      <c r="C61" s="1">
        <v>96</v>
      </c>
      <c r="D61" s="1">
        <v>0</v>
      </c>
      <c r="E61" s="1">
        <v>96</v>
      </c>
      <c r="F61" s="1">
        <v>0</v>
      </c>
      <c r="G61" s="1">
        <v>0</v>
      </c>
      <c r="H61" s="1">
        <v>0</v>
      </c>
    </row>
    <row r="62" spans="1:8">
      <c r="A62" s="1" t="s">
        <v>63</v>
      </c>
      <c r="B62" s="2">
        <v>0.1725530475378037</v>
      </c>
      <c r="C62" s="1">
        <v>94</v>
      </c>
      <c r="D62" s="1">
        <v>0</v>
      </c>
      <c r="E62" s="1">
        <v>94</v>
      </c>
      <c r="F62" s="1">
        <v>0</v>
      </c>
      <c r="G62" s="1">
        <v>0</v>
      </c>
      <c r="H62" s="1">
        <v>0</v>
      </c>
    </row>
    <row r="63" spans="1:8">
      <c r="A63" s="1" t="s">
        <v>64</v>
      </c>
      <c r="B63" s="2">
        <v>0.1652103662490845</v>
      </c>
      <c r="C63" s="1">
        <v>90</v>
      </c>
      <c r="D63" s="1">
        <v>0</v>
      </c>
      <c r="E63" s="1">
        <v>90</v>
      </c>
      <c r="F63" s="1">
        <v>0</v>
      </c>
      <c r="G63" s="1">
        <v>0</v>
      </c>
      <c r="H63" s="1">
        <v>0</v>
      </c>
    </row>
    <row r="64" spans="1:8">
      <c r="A64" s="1" t="s">
        <v>65</v>
      </c>
      <c r="B64" s="2">
        <v>0.1652103662490845</v>
      </c>
      <c r="C64" s="1">
        <v>90</v>
      </c>
      <c r="D64" s="1">
        <v>0</v>
      </c>
      <c r="E64" s="1">
        <v>90</v>
      </c>
      <c r="F64" s="1">
        <v>0</v>
      </c>
      <c r="G64" s="1">
        <v>0</v>
      </c>
      <c r="H64" s="1">
        <v>0</v>
      </c>
    </row>
    <row r="65" spans="1:8">
      <c r="A65" s="1" t="s">
        <v>66</v>
      </c>
      <c r="B65" s="2">
        <v>0.1578676849603653</v>
      </c>
      <c r="C65" s="1">
        <v>86</v>
      </c>
      <c r="D65" s="1">
        <v>0</v>
      </c>
      <c r="E65" s="1">
        <v>86</v>
      </c>
      <c r="F65" s="1">
        <v>0</v>
      </c>
      <c r="G65" s="1">
        <v>0</v>
      </c>
      <c r="H65" s="1">
        <v>0</v>
      </c>
    </row>
    <row r="66" spans="1:8">
      <c r="A66" s="1" t="s">
        <v>67</v>
      </c>
      <c r="B66" s="2">
        <v>0.1541963368654251</v>
      </c>
      <c r="C66" s="1">
        <v>84</v>
      </c>
      <c r="D66" s="1">
        <v>0</v>
      </c>
      <c r="E66" s="1">
        <v>84</v>
      </c>
      <c r="F66" s="1">
        <v>0</v>
      </c>
      <c r="G66" s="1">
        <v>0</v>
      </c>
      <c r="H66" s="1">
        <v>0</v>
      </c>
    </row>
    <row r="67" spans="1:8">
      <c r="A67" s="1" t="s">
        <v>68</v>
      </c>
      <c r="B67" s="2">
        <v>0.1541963368654251</v>
      </c>
      <c r="C67" s="1">
        <v>84</v>
      </c>
      <c r="D67" s="1">
        <v>0</v>
      </c>
      <c r="E67" s="1">
        <v>84</v>
      </c>
      <c r="F67" s="1">
        <v>0</v>
      </c>
      <c r="G67" s="1">
        <v>0</v>
      </c>
      <c r="H67" s="1">
        <v>0</v>
      </c>
    </row>
    <row r="68" spans="1:8">
      <c r="A68" s="1" t="s">
        <v>5</v>
      </c>
      <c r="B68" s="2">
        <v>0.1541963368654251</v>
      </c>
      <c r="C68" s="1">
        <v>84</v>
      </c>
      <c r="D68" s="1">
        <v>720</v>
      </c>
      <c r="E68" s="1">
        <v>84</v>
      </c>
      <c r="F68" s="1">
        <v>0</v>
      </c>
      <c r="G68" s="1">
        <v>0</v>
      </c>
      <c r="H68" s="1">
        <v>720</v>
      </c>
    </row>
    <row r="69" spans="1:8">
      <c r="A69" s="1" t="s">
        <v>69</v>
      </c>
      <c r="B69" s="2">
        <v>0.1431823223829269</v>
      </c>
      <c r="C69" s="1">
        <v>78</v>
      </c>
      <c r="D69" s="1">
        <v>0</v>
      </c>
      <c r="E69" s="1">
        <v>78</v>
      </c>
      <c r="F69" s="1">
        <v>0</v>
      </c>
      <c r="G69" s="1">
        <v>0</v>
      </c>
      <c r="H69" s="1">
        <v>0</v>
      </c>
    </row>
    <row r="70" spans="1:8">
      <c r="A70" s="1" t="s">
        <v>70</v>
      </c>
      <c r="B70" s="2">
        <v>0.1358396410942078</v>
      </c>
      <c r="C70" s="1">
        <v>74</v>
      </c>
      <c r="D70" s="1">
        <v>0</v>
      </c>
      <c r="E70" s="1">
        <v>74</v>
      </c>
      <c r="F70" s="1">
        <v>0</v>
      </c>
      <c r="G70" s="1">
        <v>0</v>
      </c>
      <c r="H70" s="1">
        <v>0</v>
      </c>
    </row>
    <row r="71" spans="1:8">
      <c r="A71" s="1" t="s">
        <v>71</v>
      </c>
      <c r="B71" s="2">
        <v>0.1101402416825295</v>
      </c>
      <c r="C71" s="1">
        <v>60</v>
      </c>
      <c r="D71" s="1">
        <v>0</v>
      </c>
      <c r="E71" s="1">
        <v>60</v>
      </c>
      <c r="F71" s="1">
        <v>0</v>
      </c>
      <c r="G71" s="1">
        <v>0</v>
      </c>
      <c r="H71" s="1">
        <v>0</v>
      </c>
    </row>
    <row r="72" spans="1:8">
      <c r="A72" s="1" t="s">
        <v>72</v>
      </c>
      <c r="B72" s="2">
        <v>0.1027975603938103</v>
      </c>
      <c r="C72" s="1">
        <v>56</v>
      </c>
      <c r="D72" s="1">
        <v>0</v>
      </c>
      <c r="E72" s="1">
        <v>56</v>
      </c>
      <c r="F72" s="1">
        <v>0</v>
      </c>
      <c r="G72" s="1">
        <v>0</v>
      </c>
      <c r="H72" s="1">
        <v>0</v>
      </c>
    </row>
    <row r="73" spans="1:8">
      <c r="A73" s="1" t="s">
        <v>73</v>
      </c>
      <c r="B73" s="2">
        <v>0.0954548791050911</v>
      </c>
      <c r="C73" s="1">
        <v>52</v>
      </c>
      <c r="D73" s="1">
        <v>0</v>
      </c>
      <c r="E73" s="1">
        <v>52</v>
      </c>
      <c r="F73" s="1">
        <v>0</v>
      </c>
      <c r="G73" s="1">
        <v>0</v>
      </c>
      <c r="H73" s="1">
        <v>0</v>
      </c>
    </row>
    <row r="74" spans="1:8">
      <c r="A74" s="1" t="s">
        <v>74</v>
      </c>
      <c r="B74" s="2">
        <v>0.08811219781637192</v>
      </c>
      <c r="C74" s="1">
        <v>48</v>
      </c>
      <c r="D74" s="1">
        <v>0</v>
      </c>
      <c r="E74" s="1">
        <v>48</v>
      </c>
      <c r="F74" s="1">
        <v>0</v>
      </c>
      <c r="G74" s="1">
        <v>0</v>
      </c>
      <c r="H74" s="1">
        <v>0</v>
      </c>
    </row>
    <row r="75" spans="1:8">
      <c r="A75" s="1" t="s">
        <v>18</v>
      </c>
      <c r="B75" s="2">
        <v>0.08076951652765274</v>
      </c>
      <c r="C75" s="1">
        <v>44</v>
      </c>
      <c r="D75" s="1">
        <v>4</v>
      </c>
      <c r="E75" s="1">
        <v>16</v>
      </c>
      <c r="F75" s="1">
        <v>24</v>
      </c>
      <c r="G75" s="1">
        <v>4</v>
      </c>
      <c r="H75" s="1">
        <v>0</v>
      </c>
    </row>
    <row r="76" spans="1:8">
      <c r="A76" s="1" t="s">
        <v>75</v>
      </c>
      <c r="B76" s="2">
        <v>0.05139878019690514</v>
      </c>
      <c r="C76" s="1">
        <v>28</v>
      </c>
      <c r="D76" s="1">
        <v>0</v>
      </c>
      <c r="E76" s="1">
        <v>28</v>
      </c>
      <c r="F76" s="1">
        <v>0</v>
      </c>
      <c r="G76" s="1">
        <v>0</v>
      </c>
      <c r="H76" s="1">
        <v>0</v>
      </c>
    </row>
    <row r="77" spans="1:8">
      <c r="A77" s="1" t="s">
        <v>76</v>
      </c>
      <c r="B77" s="2">
        <v>0.04405609890818596</v>
      </c>
      <c r="C77" s="1">
        <v>24</v>
      </c>
      <c r="D77" s="1">
        <v>0</v>
      </c>
      <c r="E77" s="1">
        <v>24</v>
      </c>
      <c r="F77" s="1">
        <v>0</v>
      </c>
      <c r="G77" s="1">
        <v>0</v>
      </c>
      <c r="H77" s="1">
        <v>0</v>
      </c>
    </row>
    <row r="78" spans="1:8">
      <c r="A78" s="1" t="s">
        <v>77</v>
      </c>
      <c r="B78" s="2">
        <v>0.04405609890818596</v>
      </c>
      <c r="C78" s="1">
        <v>24</v>
      </c>
      <c r="D78" s="1">
        <v>0</v>
      </c>
      <c r="E78" s="1">
        <v>24</v>
      </c>
      <c r="F78" s="1">
        <v>0</v>
      </c>
      <c r="G78" s="1">
        <v>0</v>
      </c>
      <c r="H78" s="1">
        <v>0</v>
      </c>
    </row>
    <row r="79" spans="1:8">
      <c r="A79" s="1" t="s">
        <v>78</v>
      </c>
      <c r="B79" s="2">
        <v>0.04038475826382637</v>
      </c>
      <c r="C79" s="1">
        <v>22</v>
      </c>
      <c r="D79" s="1">
        <v>0</v>
      </c>
      <c r="E79" s="1">
        <v>22</v>
      </c>
      <c r="F79" s="1">
        <v>0</v>
      </c>
      <c r="G79" s="1">
        <v>0</v>
      </c>
      <c r="H79" s="1">
        <v>0</v>
      </c>
    </row>
    <row r="80" spans="1:8">
      <c r="A80" s="1" t="s">
        <v>79</v>
      </c>
      <c r="B80" s="2">
        <v>0.0330420732498169</v>
      </c>
      <c r="C80" s="1">
        <v>18</v>
      </c>
      <c r="D80" s="1">
        <v>0</v>
      </c>
      <c r="E80" s="1">
        <v>18</v>
      </c>
      <c r="F80" s="1">
        <v>0</v>
      </c>
      <c r="G80" s="1">
        <v>0</v>
      </c>
      <c r="H80" s="1">
        <v>0</v>
      </c>
    </row>
    <row r="81" spans="1:8">
      <c r="A81" s="1" t="s">
        <v>80</v>
      </c>
      <c r="B81" s="2">
        <v>0.02202804945409298</v>
      </c>
      <c r="C81" s="1">
        <v>12</v>
      </c>
      <c r="D81" s="1">
        <v>0</v>
      </c>
      <c r="E81" s="1">
        <v>12</v>
      </c>
      <c r="F81" s="1">
        <v>0</v>
      </c>
      <c r="G81" s="1">
        <v>0</v>
      </c>
      <c r="H81" s="1">
        <v>0</v>
      </c>
    </row>
    <row r="82" spans="1:8">
      <c r="A82" s="1" t="s">
        <v>81</v>
      </c>
      <c r="B82" s="2">
        <v>0.02202804945409298</v>
      </c>
      <c r="C82" s="1">
        <v>12</v>
      </c>
      <c r="D82" s="1">
        <v>0</v>
      </c>
      <c r="E82" s="1">
        <v>12</v>
      </c>
      <c r="F82" s="1">
        <v>0</v>
      </c>
      <c r="G82" s="1">
        <v>0</v>
      </c>
      <c r="H82" s="1">
        <v>0</v>
      </c>
    </row>
    <row r="83" spans="1:8">
      <c r="A83" s="1" t="s">
        <v>82</v>
      </c>
      <c r="B83" s="2">
        <v>0.02202804945409298</v>
      </c>
      <c r="C83" s="1">
        <v>12</v>
      </c>
      <c r="D83" s="1">
        <v>0</v>
      </c>
      <c r="E83" s="1">
        <v>12</v>
      </c>
      <c r="F83" s="1">
        <v>0</v>
      </c>
      <c r="G83" s="1">
        <v>0</v>
      </c>
      <c r="H83" s="1">
        <v>0</v>
      </c>
    </row>
    <row r="84" spans="1:8">
      <c r="A84" s="1" t="s">
        <v>83</v>
      </c>
      <c r="B84" s="2">
        <v>0.01835670694708824</v>
      </c>
      <c r="C84" s="1">
        <v>10</v>
      </c>
      <c r="D84" s="1">
        <v>0</v>
      </c>
      <c r="E84" s="1">
        <v>10</v>
      </c>
      <c r="F84" s="1">
        <v>0</v>
      </c>
      <c r="G84" s="1">
        <v>0</v>
      </c>
      <c r="H84" s="1">
        <v>0</v>
      </c>
    </row>
    <row r="85" spans="1:8">
      <c r="A85" s="1" t="s">
        <v>84</v>
      </c>
      <c r="B85" s="2">
        <v>0.01835670694708824</v>
      </c>
      <c r="C85" s="1">
        <v>10</v>
      </c>
      <c r="D85" s="1">
        <v>0</v>
      </c>
      <c r="E85" s="1">
        <v>10</v>
      </c>
      <c r="F85" s="1">
        <v>0</v>
      </c>
      <c r="G85" s="1">
        <v>0</v>
      </c>
      <c r="H85" s="1">
        <v>0</v>
      </c>
    </row>
    <row r="86" spans="1:8">
      <c r="A86" s="1" t="s">
        <v>85</v>
      </c>
      <c r="B86" s="2">
        <v>0.01835670694708824</v>
      </c>
      <c r="C86" s="1">
        <v>10</v>
      </c>
      <c r="D86" s="1">
        <v>0</v>
      </c>
      <c r="E86" s="1">
        <v>10</v>
      </c>
      <c r="F86" s="1">
        <v>0</v>
      </c>
      <c r="G86" s="1">
        <v>0</v>
      </c>
      <c r="H86" s="1">
        <v>0</v>
      </c>
    </row>
    <row r="87" spans="1:8">
      <c r="A87" s="1" t="s">
        <v>86</v>
      </c>
      <c r="B87" s="2">
        <v>0.01468536630272865</v>
      </c>
      <c r="C87" s="1">
        <v>8</v>
      </c>
      <c r="D87" s="1">
        <v>0</v>
      </c>
      <c r="E87" s="1">
        <v>8</v>
      </c>
      <c r="F87" s="1">
        <v>0</v>
      </c>
      <c r="G87" s="1">
        <v>0</v>
      </c>
      <c r="H87" s="1">
        <v>0</v>
      </c>
    </row>
    <row r="88" spans="1:8">
      <c r="A88" s="1" t="s">
        <v>16</v>
      </c>
      <c r="B88" s="2">
        <v>0.01468536630272865</v>
      </c>
      <c r="C88" s="1">
        <v>8</v>
      </c>
      <c r="D88" s="1">
        <v>96</v>
      </c>
      <c r="E88" s="1">
        <v>8</v>
      </c>
      <c r="F88" s="1">
        <v>0</v>
      </c>
      <c r="G88" s="1">
        <v>0</v>
      </c>
      <c r="H88" s="1">
        <v>96</v>
      </c>
    </row>
    <row r="89" spans="1:8">
      <c r="A89" s="1" t="s">
        <v>87</v>
      </c>
      <c r="B89" s="2">
        <v>0.01468536630272865</v>
      </c>
      <c r="C89" s="1">
        <v>8</v>
      </c>
      <c r="D89" s="1">
        <v>0</v>
      </c>
      <c r="E89" s="1">
        <v>8</v>
      </c>
      <c r="F89" s="1">
        <v>0</v>
      </c>
      <c r="G89" s="1">
        <v>0</v>
      </c>
      <c r="H89" s="1">
        <v>0</v>
      </c>
    </row>
    <row r="90" spans="1:8">
      <c r="A90" s="1" t="s">
        <v>88</v>
      </c>
      <c r="B90" s="2">
        <v>0.01468536630272865</v>
      </c>
      <c r="C90" s="1">
        <v>8</v>
      </c>
      <c r="D90" s="1">
        <v>0</v>
      </c>
      <c r="E90" s="1">
        <v>8</v>
      </c>
      <c r="F90" s="1">
        <v>0</v>
      </c>
      <c r="G90" s="1">
        <v>0</v>
      </c>
      <c r="H90" s="1">
        <v>0</v>
      </c>
    </row>
    <row r="91" spans="1:8">
      <c r="A91" s="1" t="s">
        <v>89</v>
      </c>
      <c r="B91" s="2">
        <v>0.01101402472704649</v>
      </c>
      <c r="C91" s="1">
        <v>6</v>
      </c>
      <c r="D91" s="1">
        <v>0</v>
      </c>
      <c r="E91" s="1">
        <v>6</v>
      </c>
      <c r="F91" s="1">
        <v>0</v>
      </c>
      <c r="G91" s="1">
        <v>0</v>
      </c>
      <c r="H91" s="1">
        <v>0</v>
      </c>
    </row>
    <row r="92" spans="1:8">
      <c r="A92" s="1" t="s">
        <v>90</v>
      </c>
      <c r="B92" s="2">
        <v>0.01101402472704649</v>
      </c>
      <c r="C92" s="1">
        <v>6</v>
      </c>
      <c r="D92" s="1">
        <v>0</v>
      </c>
      <c r="E92" s="1">
        <v>6</v>
      </c>
      <c r="F92" s="1">
        <v>0</v>
      </c>
      <c r="G92" s="1">
        <v>0</v>
      </c>
      <c r="H92" s="1">
        <v>0</v>
      </c>
    </row>
    <row r="93" spans="1:8">
      <c r="A93" s="1" t="s">
        <v>91</v>
      </c>
      <c r="B93" s="2">
        <v>0.01101402472704649</v>
      </c>
      <c r="C93" s="1">
        <v>6</v>
      </c>
      <c r="D93" s="1">
        <v>0</v>
      </c>
      <c r="E93" s="1">
        <v>6</v>
      </c>
      <c r="F93" s="1">
        <v>0</v>
      </c>
      <c r="G93" s="1">
        <v>0</v>
      </c>
      <c r="H93" s="1">
        <v>0</v>
      </c>
    </row>
    <row r="94" spans="1:8">
      <c r="A94" s="1" t="s">
        <v>92</v>
      </c>
      <c r="B94" s="2">
        <v>0.003671341575682163</v>
      </c>
      <c r="C94" s="1">
        <v>2</v>
      </c>
      <c r="D94" s="1">
        <v>0</v>
      </c>
      <c r="E94" s="1">
        <v>2</v>
      </c>
      <c r="F94" s="1">
        <v>0</v>
      </c>
      <c r="G94" s="1">
        <v>0</v>
      </c>
      <c r="H94" s="1">
        <v>0</v>
      </c>
    </row>
    <row r="95" spans="1:8">
      <c r="A95" s="1" t="s">
        <v>93</v>
      </c>
      <c r="B95" s="2">
        <v>0.003671341575682163</v>
      </c>
      <c r="C95" s="1">
        <v>2</v>
      </c>
      <c r="D95" s="1">
        <v>0</v>
      </c>
      <c r="E95" s="1">
        <v>2</v>
      </c>
      <c r="F95" s="1">
        <v>0</v>
      </c>
      <c r="G95" s="1">
        <v>0</v>
      </c>
      <c r="H95" s="1">
        <v>0</v>
      </c>
    </row>
    <row r="96" spans="1:8">
      <c r="A96" s="1" t="s">
        <v>94</v>
      </c>
      <c r="B96" s="2">
        <v>0.003671341575682163</v>
      </c>
      <c r="C96" s="1">
        <v>2</v>
      </c>
      <c r="D96" s="1">
        <v>0</v>
      </c>
      <c r="E96" s="1">
        <v>2</v>
      </c>
      <c r="F96" s="1">
        <v>0</v>
      </c>
      <c r="G96" s="1">
        <v>0</v>
      </c>
      <c r="H96" s="1">
        <v>0</v>
      </c>
    </row>
    <row r="97" spans="1:8">
      <c r="A97" s="1" t="s">
        <v>95</v>
      </c>
      <c r="B97" s="2">
        <v>0.003671341575682163</v>
      </c>
      <c r="C97" s="1">
        <v>2</v>
      </c>
      <c r="D97" s="1">
        <v>0</v>
      </c>
      <c r="E97" s="1">
        <v>2</v>
      </c>
      <c r="F97" s="1">
        <v>0</v>
      </c>
      <c r="G97" s="1">
        <v>0</v>
      </c>
      <c r="H97" s="1">
        <v>0</v>
      </c>
    </row>
    <row r="98" spans="1:8">
      <c r="A98" s="1" t="s">
        <v>96</v>
      </c>
      <c r="B98" s="2">
        <v>0.003671341575682163</v>
      </c>
      <c r="C98" s="1">
        <v>2</v>
      </c>
      <c r="D98" s="1">
        <v>0</v>
      </c>
      <c r="E98" s="1">
        <v>2</v>
      </c>
      <c r="F98" s="1">
        <v>0</v>
      </c>
      <c r="G98" s="1">
        <v>0</v>
      </c>
      <c r="H98" s="1">
        <v>0</v>
      </c>
    </row>
    <row r="99" spans="1:8">
      <c r="A99" t="s">
        <v>98</v>
      </c>
      <c r="B99">
        <f>SUBTOTAL(109,[flash_percent])</f>
        <v>0</v>
      </c>
      <c r="C99">
        <f>SUBTOTAL(109,[flash])</f>
        <v>0</v>
      </c>
      <c r="D99">
        <f>SUBTOTAL(109,[ram])</f>
        <v>0</v>
      </c>
      <c r="E99">
        <f>SUBTOTAL(109,[Code])</f>
        <v>0</v>
      </c>
      <c r="F99">
        <f>SUBTOTAL(109,[RO_data])</f>
        <v>0</v>
      </c>
      <c r="G99">
        <f>SUBTOTAL(109,[RW_data])</f>
        <v>0</v>
      </c>
      <c r="H99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2025-04-30T08:02:47Z</dcterms:created>
  <dcterms:modified xsi:type="dcterms:W3CDTF">2025-04-30T08:02:47Z</dcterms:modified>
</cp:coreProperties>
</file>